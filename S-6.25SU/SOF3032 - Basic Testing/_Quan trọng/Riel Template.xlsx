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bee\Desktop\SOF3032\_Quan trọng\"/>
    </mc:Choice>
  </mc:AlternateContent>
  <xr:revisionPtr revIDLastSave="0" documentId="13_ncr:1_{88B50702-003C-4575-B45A-FCBB6DE99E0F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Cover (Tổng quan)" sheetId="1" r:id="rId1"/>
    <sheet name="Test case List (DS Test Case)" sheetId="2" r:id="rId2"/>
    <sheet name="FUNCTION" sheetId="3" r:id="rId3"/>
    <sheet name="PROTOTYPE" sheetId="4" r:id="rId4"/>
    <sheet name="1. Tên Chức Năng Test" sheetId="5" r:id="rId5"/>
    <sheet name="2. Tên Chức Năng Test" sheetId="6" r:id="rId6"/>
    <sheet name=",,,,," sheetId="7" r:id="rId7"/>
    <sheet name="Non Function" sheetId="8" r:id="rId8"/>
    <sheet name="Test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+bcaQEpFcFGVWAZLV/a7ZWd6RKVpndZT/aSuc2mqEc="/>
    </ext>
  </extLst>
</workbook>
</file>

<file path=xl/calcChain.xml><?xml version="1.0" encoding="utf-8"?>
<calcChain xmlns="http://schemas.openxmlformats.org/spreadsheetml/2006/main">
  <c r="J26" i="5" l="1"/>
  <c r="J34" i="5"/>
  <c r="J33" i="5"/>
  <c r="J32" i="5"/>
  <c r="J31" i="5"/>
  <c r="J30" i="5"/>
  <c r="J27" i="5"/>
  <c r="J25" i="5"/>
  <c r="J24" i="5"/>
  <c r="J23" i="5"/>
  <c r="J22" i="5"/>
  <c r="J21" i="5"/>
  <c r="J20" i="5"/>
  <c r="J19" i="5"/>
  <c r="J18" i="5"/>
  <c r="J17" i="5"/>
  <c r="J16" i="5"/>
  <c r="J14" i="5"/>
  <c r="J13" i="5"/>
  <c r="J12" i="5"/>
  <c r="J11" i="5"/>
  <c r="C17" i="9"/>
  <c r="C16" i="9"/>
  <c r="C15" i="9"/>
  <c r="C14" i="9"/>
  <c r="C13" i="9"/>
  <c r="C12" i="9"/>
  <c r="C11" i="9"/>
  <c r="C5" i="9"/>
  <c r="G6" i="5"/>
  <c r="G11" i="9"/>
  <c r="G20" i="9" s="1"/>
  <c r="E11" i="9"/>
  <c r="E20" i="9" s="1"/>
  <c r="D11" i="9"/>
  <c r="D20" i="9" s="1"/>
  <c r="K5" i="5"/>
  <c r="B12" i="1"/>
  <c r="F11" i="9" l="1"/>
  <c r="F20" i="9" s="1"/>
  <c r="H11" i="9"/>
  <c r="H20" i="9" s="1"/>
  <c r="E23" i="9" s="1"/>
  <c r="E22" i="9" l="1"/>
</calcChain>
</file>

<file path=xl/sharedStrings.xml><?xml version="1.0" encoding="utf-8"?>
<sst xmlns="http://schemas.openxmlformats.org/spreadsheetml/2006/main" count="226" uniqueCount="164">
  <si>
    <t>TRƯỜNG HỢP KIỂM THỬ</t>
  </si>
  <si>
    <t>File này là file report cuối cùng của dự án</t>
  </si>
  <si>
    <t>Project Name</t>
  </si>
  <si>
    <t>Tên dự án</t>
  </si>
  <si>
    <t>Creator</t>
  </si>
  <si>
    <t>Người tạo  ghi tên và mã sinh viên</t>
  </si>
  <si>
    <t>Project Code</t>
  </si>
  <si>
    <t>Mã dự án  WEBBONG2020</t>
  </si>
  <si>
    <t>Reviewer/Approver</t>
  </si>
  <si>
    <t>Người phản biện và người phê duyệt</t>
  </si>
  <si>
    <t>Document Code</t>
  </si>
  <si>
    <t>Mã dự án + tên</t>
  </si>
  <si>
    <t>Issue Date</t>
  </si>
  <si>
    <t xml:space="preserve">Ngày tạo </t>
  </si>
  <si>
    <t>Version</t>
  </si>
  <si>
    <t>Phiên bản v1.0</t>
  </si>
  <si>
    <t>Record of change</t>
  </si>
  <si>
    <t xml:space="preserve">Ghi lại các thay đổi </t>
  </si>
  <si>
    <t>Effective Date</t>
  </si>
  <si>
    <t>Change Item</t>
  </si>
  <si>
    <t>*A,D,M</t>
  </si>
  <si>
    <t>Change description</t>
  </si>
  <si>
    <t>Reference</t>
  </si>
  <si>
    <t>1.0</t>
  </si>
  <si>
    <t>Các version thực hiện test khác nhau</t>
  </si>
  <si>
    <t>Ngày hiệu lực</t>
  </si>
  <si>
    <t>Phiên bản</t>
  </si>
  <si>
    <t>Thay đổi hạng mục</t>
  </si>
  <si>
    <t>Add: Thêm</t>
  </si>
  <si>
    <t>Mô tả thay đổi gì trong phiên bản</t>
  </si>
  <si>
    <t>Tài liệu tham khảo là tài liệu nào</t>
  </si>
  <si>
    <t>Dạng kiểu file Test case</t>
  </si>
  <si>
    <t>Delete:Xóa</t>
  </si>
  <si>
    <t>Modify: Sửa</t>
  </si>
  <si>
    <t>Group:</t>
  </si>
  <si>
    <t>MEMBER</t>
  </si>
  <si>
    <t>STT</t>
  </si>
  <si>
    <t>Tên thành viên</t>
  </si>
  <si>
    <t>Nhiệm vụ</t>
  </si>
  <si>
    <t>TEST CASE LIST</t>
  </si>
  <si>
    <t>Test Environment Setup Description</t>
  </si>
  <si>
    <t>Môi trường thiết lập để có thể test là gì</t>
  </si>
  <si>
    <t>No(STT)</t>
  </si>
  <si>
    <t>Function Name(Tên chức năng)</t>
  </si>
  <si>
    <t>Sheet Name(Tên Sheet trong excel)</t>
  </si>
  <si>
    <t>Description(Mô tả)</t>
  </si>
  <si>
    <t>Pre-Condition(Điều kiện trước khi test)</t>
  </si>
  <si>
    <t>FUNCTION</t>
  </si>
  <si>
    <t>Funtion level 1</t>
  </si>
  <si>
    <t>Funtion level 2</t>
  </si>
  <si>
    <t>Action &amp; Even</t>
  </si>
  <si>
    <t>6.1 Login &amp; Logout</t>
  </si>
  <si>
    <t>Sign in</t>
  </si>
  <si>
    <t>Diễn giải hành động và sự kiện của dự án đã có ví dụ diễn giải cách phân tích để lấy.</t>
  </si>
  <si>
    <t>Login</t>
  </si>
  <si>
    <t>Nhập pass</t>
  </si>
  <si>
    <t>Nhập user</t>
  </si>
  <si>
    <t>Forgot pass</t>
  </si>
  <si>
    <t>Logout</t>
  </si>
  <si>
    <t>6.2 Organisations</t>
  </si>
  <si>
    <t>6.2.1  List Organisations</t>
  </si>
  <si>
    <t>Hiển thị danh sách</t>
  </si>
  <si>
    <t>Bấm Organisation tại menu</t>
  </si>
  <si>
    <t>Tich nut include in-active</t>
  </si>
  <si>
    <t>Filter (lọc)</t>
  </si>
  <si>
    <t>Bấm chọn các vùng lọc</t>
  </si>
  <si>
    <t>Sort (sắp xếp)</t>
  </si>
  <si>
    <t>Bấm chọn các cột</t>
  </si>
  <si>
    <t>Phân trang</t>
  </si>
  <si>
    <t>Bấm chọn các nút dịch chuyển</t>
  </si>
  <si>
    <t>Chọn 1 Organisation</t>
  </si>
  <si>
    <t>Bấm chọn với organisation đang active và inactive</t>
  </si>
  <si>
    <t>6.2.2  Add Organisation</t>
  </si>
  <si>
    <t>6.2.3  Amend Organisation</t>
  </si>
  <si>
    <t>6.2.4  Mark In-active Organisation</t>
  </si>
  <si>
    <t>6.2.5  Supporting Materials Maintenance</t>
  </si>
  <si>
    <t>6.2.6  Directorate Maintenance</t>
  </si>
  <si>
    <t>6.2.7  Department Maintenance</t>
  </si>
  <si>
    <t>6.2.8  Team Maintenance</t>
  </si>
  <si>
    <t>list team</t>
  </si>
  <si>
    <t>Oranisation List</t>
  </si>
  <si>
    <t>Tên chức năng</t>
  </si>
  <si>
    <t>Hình ảnh chức năng</t>
  </si>
  <si>
    <t>Liệt kê các chức năng thực hiện kiểm thử theo thứ tự và kèm hình ảnh</t>
  </si>
  <si>
    <t>Pass</t>
  </si>
  <si>
    <t>Module Code</t>
  </si>
  <si>
    <t>Fail</t>
  </si>
  <si>
    <t>Test requirement</t>
  </si>
  <si>
    <t>Untested</t>
  </si>
  <si>
    <t>Tester</t>
  </si>
  <si>
    <t>lbee3</t>
  </si>
  <si>
    <t>N/A</t>
  </si>
  <si>
    <t>Number of Test cases</t>
  </si>
  <si>
    <t>ID</t>
  </si>
  <si>
    <t>Test Title</t>
  </si>
  <si>
    <t>Test Case Description</t>
  </si>
  <si>
    <t>Test Case Procedure</t>
  </si>
  <si>
    <t>Test Data</t>
  </si>
  <si>
    <t>Expected Output</t>
  </si>
  <si>
    <t>Actual Result</t>
  </si>
  <si>
    <t>Inter-test case Dependence</t>
  </si>
  <si>
    <t>Result</t>
  </si>
  <si>
    <t>Test date</t>
  </si>
  <si>
    <t>Note</t>
  </si>
  <si>
    <t>Câu 1: 15 TC</t>
  </si>
  <si>
    <t>C1_01</t>
  </si>
  <si>
    <t>C1_02</t>
  </si>
  <si>
    <t>C1_03</t>
  </si>
  <si>
    <t>C1_04</t>
  </si>
  <si>
    <t>C1_05</t>
  </si>
  <si>
    <t>C1_06</t>
  </si>
  <si>
    <t>C1_07</t>
  </si>
  <si>
    <t>C1_08</t>
  </si>
  <si>
    <t>C1_09</t>
  </si>
  <si>
    <t>C1_10</t>
  </si>
  <si>
    <t>C1_11</t>
  </si>
  <si>
    <t>C1_12</t>
  </si>
  <si>
    <t>C1_13</t>
  </si>
  <si>
    <t>C1_14</t>
  </si>
  <si>
    <t>C1_15</t>
  </si>
  <si>
    <t>C1_16</t>
  </si>
  <si>
    <t>Câu 2: 5 TC</t>
  </si>
  <si>
    <t>Kĩ thuật: Bảng quyết định / Chuyển đổi trạng thái / Đoán lỗi</t>
  </si>
  <si>
    <t>C2_01</t>
  </si>
  <si>
    <t>C2_02</t>
  </si>
  <si>
    <t>C2_03</t>
  </si>
  <si>
    <t>C2_04</t>
  </si>
  <si>
    <t>C2_05</t>
  </si>
  <si>
    <t>Câu 3: 5 TC</t>
  </si>
  <si>
    <t>Kĩ thuật: Kiểm thử hộp trắng</t>
  </si>
  <si>
    <t>C3_01</t>
  </si>
  <si>
    <t>C3_02</t>
  </si>
  <si>
    <t>C3_03</t>
  </si>
  <si>
    <t>C3_04</t>
  </si>
  <si>
    <t>C3_05</t>
  </si>
  <si>
    <t>Câu X</t>
  </si>
  <si>
    <t>Validation Rules</t>
  </si>
  <si>
    <t>TEST REPORT</t>
  </si>
  <si>
    <t>Xây dựng website đấu giá</t>
  </si>
  <si>
    <t>Lê Chiêu Quốc, Thái Trung Đức, Phạm Như Ngọc Tuấn</t>
  </si>
  <si>
    <t>KH_HUE_T07</t>
  </si>
  <si>
    <t>Notes</t>
  </si>
  <si>
    <t xml:space="preserve">Release 1 includes 9 modules:
1. Đăng ký
2. Đăng nhập
3. Xem danh sách phiên đấu giá - Tìm kiếm
4. Xem chi tiết phiên đấu giá - Đấu giá/Hủy đấu giá
5. Cập nhật thông tin cá nhân - Xem lịch sử giao dịch
6. Quản lý Phiên đấu giá (Thêm - Chỉnh sửa - Xóa)
7. Quản lý Sản phẩm (Thêm - Chỉnh sửa - Xóa)
8. Quản lý Thành viên (Thêm - Chỉnh sửa)
9. Nạp/Rút tiền
</t>
  </si>
  <si>
    <t>No</t>
  </si>
  <si>
    <t>Module code</t>
  </si>
  <si>
    <t>Number of  test cases</t>
  </si>
  <si>
    <t>1.Login-logout</t>
  </si>
  <si>
    <t>2.organisation</t>
  </si>
  <si>
    <t>3.service</t>
  </si>
  <si>
    <t>4.programe</t>
  </si>
  <si>
    <t>5. premise</t>
  </si>
  <si>
    <t>6.Geography</t>
  </si>
  <si>
    <t>7.Search</t>
  </si>
  <si>
    <t>Sub total</t>
  </si>
  <si>
    <t>Test coverage</t>
  </si>
  <si>
    <t>%</t>
  </si>
  <si>
    <t>Test successful coverage</t>
  </si>
  <si>
    <t>Tên: [10:100]
Đơn vị tính: INT có value = {10000:9999999999}
Đơn vị tiền: [5:9]
Loại dịch vụ: Tạm thời/Vô thời hạn</t>
  </si>
  <si>
    <t>Administrator</t>
  </si>
  <si>
    <t>Kĩ thuật: Giá trị biên - Vùng tương đương</t>
  </si>
  <si>
    <t>Vùng tương đương</t>
  </si>
  <si>
    <t>Đoán lỗi</t>
  </si>
  <si>
    <t>Giá trị biên</t>
  </si>
  <si>
    <t>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</si>
</sst>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d\-mmm\-yy"/>
  </numFmts>
  <fonts count="41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1155CC"/>
      <name val="Calibri"/>
    </font>
    <font>
      <u/>
      <sz val="10"/>
      <color rgb="FF0000FF"/>
      <name val="Tahoma"/>
    </font>
    <font>
      <sz val="11"/>
      <color theme="1"/>
      <name val="Calibri"/>
    </font>
    <font>
      <u/>
      <sz val="11"/>
      <color theme="10"/>
      <name val="Calibri"/>
    </font>
    <font>
      <sz val="11"/>
      <color theme="10"/>
      <name val="Calibri"/>
    </font>
    <font>
      <sz val="10"/>
      <color theme="1"/>
      <name val="Times New Roman"/>
    </font>
    <font>
      <b/>
      <sz val="20"/>
      <color rgb="FF000000"/>
      <name val="Times New Roman"/>
    </font>
    <font>
      <b/>
      <sz val="10"/>
      <color rgb="FFFF0000"/>
      <name val="Times New Roman"/>
    </font>
    <font>
      <b/>
      <sz val="10"/>
      <color rgb="FF993300"/>
      <name val="Times New Roman"/>
    </font>
    <font>
      <i/>
      <sz val="10"/>
      <color rgb="FF008000"/>
      <name val="Times New Roman"/>
    </font>
    <font>
      <sz val="11"/>
      <color theme="1"/>
      <name val="Times New Roman"/>
    </font>
    <font>
      <b/>
      <sz val="11"/>
      <color rgb="FF333F4F"/>
      <name val="Times New Roman"/>
    </font>
    <font>
      <sz val="11"/>
      <color rgb="FF333F4F"/>
      <name val="Times New Roman"/>
    </font>
    <font>
      <i/>
      <sz val="11"/>
      <color theme="1"/>
      <name val="Times New Roman"/>
    </font>
    <font>
      <b/>
      <sz val="11"/>
      <color theme="1"/>
      <name val="MS PGothic"/>
    </font>
    <font>
      <sz val="11"/>
      <color theme="1"/>
      <name val="Calibri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2"/>
      <color theme="1"/>
      <name val="SVN-Product Sans"/>
      <family val="2"/>
    </font>
    <font>
      <sz val="12"/>
      <color rgb="FF0070C0"/>
      <name val="SVN-Product Sans"/>
      <family val="2"/>
    </font>
    <font>
      <b/>
      <sz val="12"/>
      <color theme="1"/>
      <name val="SVN-Product Sans"/>
      <family val="2"/>
    </font>
    <font>
      <sz val="11"/>
      <color theme="1"/>
      <name val="SVN-Product Sans"/>
      <family val="2"/>
    </font>
    <font>
      <sz val="12"/>
      <color rgb="FF008000"/>
      <name val="SVN-Product Sans"/>
      <family val="2"/>
    </font>
    <font>
      <b/>
      <sz val="12"/>
      <color theme="0"/>
      <name val="SVN-Product Sans"/>
      <family val="2"/>
    </font>
    <font>
      <sz val="11"/>
      <name val="SVN-Product Sans"/>
      <family val="2"/>
    </font>
    <font>
      <sz val="12"/>
      <color rgb="FF000000"/>
      <name val="SVN-Product Sans"/>
      <family val="2"/>
    </font>
    <font>
      <b/>
      <sz val="12"/>
      <color rgb="FF000000"/>
      <name val="SVN-Product Sans"/>
      <family val="2"/>
    </font>
    <font>
      <b/>
      <sz val="12"/>
      <color rgb="FFFFFFFF"/>
      <name val="SVN-Product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5E0B3"/>
        <bgColor rgb="FFC5E0B3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7" fillId="0" borderId="4" xfId="0" applyNumberFormat="1" applyFont="1" applyBorder="1" applyAlignment="1">
      <alignment horizontal="left"/>
    </xf>
    <xf numFmtId="165" fontId="7" fillId="0" borderId="4" xfId="0" applyNumberFormat="1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7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0" fontId="7" fillId="0" borderId="19" xfId="0" quotePrefix="1" applyFont="1" applyBorder="1" applyAlignment="1">
      <alignment vertical="top" wrapText="1"/>
    </xf>
    <xf numFmtId="0" fontId="9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6" fillId="2" borderId="5" xfId="0" applyFont="1" applyFill="1" applyBorder="1"/>
    <xf numFmtId="0" fontId="1" fillId="0" borderId="5" xfId="0" applyFont="1" applyBorder="1"/>
    <xf numFmtId="0" fontId="6" fillId="2" borderId="20" xfId="0" applyFont="1" applyFill="1" applyBorder="1"/>
    <xf numFmtId="0" fontId="6" fillId="2" borderId="21" xfId="0" applyFont="1" applyFill="1" applyBorder="1"/>
    <xf numFmtId="0" fontId="6" fillId="2" borderId="22" xfId="0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1" fontId="8" fillId="5" borderId="14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1" fontId="17" fillId="2" borderId="1" xfId="0" applyNumberFormat="1" applyFont="1" applyFill="1" applyBorder="1"/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9" fillId="2" borderId="1" xfId="0" applyFont="1" applyFill="1" applyBorder="1" applyAlignment="1">
      <alignment horizontal="left"/>
    </xf>
    <xf numFmtId="1" fontId="20" fillId="2" borderId="20" xfId="0" applyNumberFormat="1" applyFont="1" applyFill="1" applyBorder="1"/>
    <xf numFmtId="0" fontId="21" fillId="2" borderId="5" xfId="0" applyFont="1" applyFill="1" applyBorder="1" applyAlignment="1">
      <alignment horizontal="left"/>
    </xf>
    <xf numFmtId="1" fontId="20" fillId="2" borderId="5" xfId="0" applyNumberFormat="1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top" wrapText="1"/>
    </xf>
    <xf numFmtId="0" fontId="17" fillId="2" borderId="1" xfId="0" applyFont="1" applyFill="1" applyBorder="1" applyAlignment="1">
      <alignment wrapText="1"/>
    </xf>
    <xf numFmtId="0" fontId="22" fillId="0" borderId="0" xfId="0" applyFont="1"/>
    <xf numFmtId="0" fontId="23" fillId="6" borderId="5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vertical="center"/>
    </xf>
    <xf numFmtId="0" fontId="22" fillId="0" borderId="5" xfId="0" applyFont="1" applyBorder="1"/>
    <xf numFmtId="0" fontId="22" fillId="0" borderId="10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9" fillId="2" borderId="1" xfId="0" applyFont="1" applyFill="1" applyBorder="1"/>
    <xf numFmtId="166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164" fontId="7" fillId="2" borderId="22" xfId="0" applyNumberFormat="1" applyFont="1" applyFill="1" applyBorder="1" applyAlignment="1">
      <alignment vertical="top"/>
    </xf>
    <xf numFmtId="0" fontId="7" fillId="2" borderId="1" xfId="0" applyFont="1" applyFill="1" applyBorder="1"/>
    <xf numFmtId="0" fontId="1" fillId="2" borderId="41" xfId="0" applyFont="1" applyFill="1" applyBorder="1"/>
    <xf numFmtId="0" fontId="8" fillId="3" borderId="42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 wrapText="1"/>
    </xf>
    <xf numFmtId="0" fontId="1" fillId="2" borderId="39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6" xfId="0" applyFont="1" applyFill="1" applyBorder="1"/>
    <xf numFmtId="0" fontId="1" fillId="2" borderId="47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8" fillId="3" borderId="49" xfId="0" applyFont="1" applyFill="1" applyBorder="1" applyAlignment="1">
      <alignment horizontal="center"/>
    </xf>
    <xf numFmtId="0" fontId="8" fillId="3" borderId="50" xfId="0" applyFont="1" applyFill="1" applyBorder="1"/>
    <xf numFmtId="0" fontId="28" fillId="3" borderId="50" xfId="0" applyFont="1" applyFill="1" applyBorder="1" applyAlignment="1">
      <alignment horizontal="center"/>
    </xf>
    <xf numFmtId="0" fontId="28" fillId="3" borderId="5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9" fillId="2" borderId="1" xfId="0" applyNumberFormat="1" applyFont="1" applyFill="1" applyBorder="1" applyAlignment="1">
      <alignment horizontal="right" wrapText="1"/>
    </xf>
    <xf numFmtId="0" fontId="30" fillId="2" borderId="1" xfId="0" applyFont="1" applyFill="1" applyBorder="1" applyAlignment="1">
      <alignment horizont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/>
    <xf numFmtId="0" fontId="33" fillId="2" borderId="5" xfId="0" applyFont="1" applyFill="1" applyBorder="1" applyAlignment="1">
      <alignment horizontal="left"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  <xf numFmtId="0" fontId="35" fillId="2" borderId="27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3" fillId="2" borderId="28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2" borderId="30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22" fontId="38" fillId="2" borderId="5" xfId="0" applyNumberFormat="1" applyFont="1" applyFill="1" applyBorder="1" applyAlignment="1">
      <alignment horizontal="left" vertical="center" wrapText="1"/>
    </xf>
    <xf numFmtId="0" fontId="38" fillId="2" borderId="31" xfId="0" applyFont="1" applyFill="1" applyBorder="1" applyAlignment="1">
      <alignment horizontal="left" vertical="center" wrapText="1"/>
    </xf>
    <xf numFmtId="0" fontId="38" fillId="2" borderId="32" xfId="0" applyFont="1" applyFill="1" applyBorder="1" applyAlignment="1">
      <alignment horizontal="left" vertical="center" wrapText="1"/>
    </xf>
    <xf numFmtId="0" fontId="38" fillId="2" borderId="37" xfId="0" applyFont="1" applyFill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8" fillId="2" borderId="2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8" fillId="2" borderId="38" xfId="0" applyFont="1" applyFill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left" vertical="center" wrapText="1"/>
    </xf>
    <xf numFmtId="0" fontId="31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8" fillId="2" borderId="5" xfId="0" applyFont="1" applyFill="1" applyBorder="1" applyAlignment="1">
      <alignment horizontal="left" vertical="center" wrapText="1"/>
    </xf>
    <xf numFmtId="0" fontId="31" fillId="2" borderId="22" xfId="0" applyFont="1" applyFill="1" applyBorder="1" applyAlignment="1">
      <alignment horizontal="left" vertical="center" wrapText="1"/>
    </xf>
    <xf numFmtId="22" fontId="31" fillId="2" borderId="5" xfId="0" applyNumberFormat="1" applyFont="1" applyFill="1" applyBorder="1" applyAlignment="1">
      <alignment horizontal="left" vertical="center" wrapText="1"/>
    </xf>
    <xf numFmtId="0" fontId="31" fillId="2" borderId="1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7" borderId="5" xfId="0" applyFont="1" applyFill="1" applyBorder="1" applyAlignment="1">
      <alignment horizontal="left" vertical="center" wrapText="1"/>
    </xf>
    <xf numFmtId="0" fontId="39" fillId="2" borderId="20" xfId="0" applyFont="1" applyFill="1" applyBorder="1" applyAlignment="1">
      <alignment horizontal="left" vertical="center" wrapText="1"/>
    </xf>
    <xf numFmtId="0" fontId="33" fillId="9" borderId="20" xfId="0" applyFont="1" applyFill="1" applyBorder="1" applyAlignment="1">
      <alignment horizontal="left" vertical="center" wrapText="1"/>
    </xf>
    <xf numFmtId="0" fontId="37" fillId="0" borderId="21" xfId="0" applyFont="1" applyBorder="1"/>
    <xf numFmtId="0" fontId="37" fillId="0" borderId="13" xfId="0" applyFont="1" applyBorder="1"/>
    <xf numFmtId="0" fontId="6" fillId="2" borderId="2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4" borderId="2" xfId="0" applyFont="1" applyFill="1" applyBorder="1" applyAlignment="1">
      <alignment horizontal="center"/>
    </xf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22" fillId="0" borderId="6" xfId="0" applyFont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0" fontId="5" fillId="0" borderId="26" xfId="0" applyFont="1" applyBorder="1"/>
    <xf numFmtId="0" fontId="24" fillId="7" borderId="6" xfId="0" applyFont="1" applyFill="1" applyBorder="1" applyAlignment="1">
      <alignment horizontal="left" vertical="center"/>
    </xf>
    <xf numFmtId="0" fontId="22" fillId="0" borderId="7" xfId="0" applyFont="1" applyBorder="1" applyAlignment="1">
      <alignment horizontal="left"/>
    </xf>
    <xf numFmtId="0" fontId="35" fillId="2" borderId="2" xfId="0" applyFont="1" applyFill="1" applyBorder="1" applyAlignment="1">
      <alignment horizontal="left" vertical="center" wrapText="1"/>
    </xf>
    <xf numFmtId="0" fontId="37" fillId="0" borderId="3" xfId="0" applyFont="1" applyBorder="1"/>
    <xf numFmtId="0" fontId="37" fillId="0" borderId="29" xfId="0" applyFont="1" applyBorder="1"/>
    <xf numFmtId="0" fontId="39" fillId="2" borderId="2" xfId="0" applyFont="1" applyFill="1" applyBorder="1" applyAlignment="1">
      <alignment horizontal="left" vertical="center" wrapText="1"/>
    </xf>
    <xf numFmtId="0" fontId="37" fillId="0" borderId="4" xfId="0" applyFont="1" applyBorder="1"/>
    <xf numFmtId="0" fontId="39" fillId="6" borderId="2" xfId="0" applyFont="1" applyFill="1" applyBorder="1" applyAlignment="1">
      <alignment vertical="center" wrapText="1"/>
    </xf>
    <xf numFmtId="0" fontId="38" fillId="2" borderId="33" xfId="0" applyFont="1" applyFill="1" applyBorder="1" applyAlignment="1">
      <alignment horizontal="left" vertical="center" wrapText="1"/>
    </xf>
    <xf numFmtId="0" fontId="37" fillId="0" borderId="34" xfId="0" applyFont="1" applyBorder="1"/>
    <xf numFmtId="0" fontId="33" fillId="9" borderId="2" xfId="0" applyFont="1" applyFill="1" applyBorder="1" applyAlignment="1">
      <alignment horizontal="left" vertical="center" wrapText="1"/>
    </xf>
    <xf numFmtId="0" fontId="38" fillId="6" borderId="33" xfId="0" applyFont="1" applyFill="1" applyBorder="1" applyAlignment="1">
      <alignment horizontal="left" vertical="center" wrapText="1"/>
    </xf>
    <xf numFmtId="0" fontId="37" fillId="0" borderId="35" xfId="0" applyFont="1" applyBorder="1"/>
    <xf numFmtId="0" fontId="37" fillId="0" borderId="36" xfId="0" applyFont="1" applyBorder="1"/>
    <xf numFmtId="0" fontId="6" fillId="2" borderId="2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center"/>
    </xf>
    <xf numFmtId="0" fontId="5" fillId="0" borderId="40" xfId="0" applyFont="1" applyBorder="1"/>
    <xf numFmtId="0" fontId="33" fillId="9" borderId="20" xfId="0" applyFont="1" applyFill="1" applyBorder="1" applyAlignment="1">
      <alignment horizontal="left" vertical="center" wrapText="1"/>
    </xf>
    <xf numFmtId="0" fontId="33" fillId="9" borderId="21" xfId="0" applyFont="1" applyFill="1" applyBorder="1" applyAlignment="1">
      <alignment horizontal="left" vertical="center" wrapText="1"/>
    </xf>
    <xf numFmtId="0" fontId="33" fillId="9" borderId="2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" cy="161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7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0</xdr:rowOff>
    </xdr:from>
    <xdr:ext cx="9334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2</xdr:row>
      <xdr:rowOff>19050</xdr:rowOff>
    </xdr:from>
    <xdr:ext cx="4933950" cy="29622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10.5703125" customWidth="1"/>
    <col min="4" max="4" width="16.5703125" customWidth="1"/>
    <col min="5" max="5" width="9.140625" customWidth="1"/>
    <col min="6" max="6" width="35.5703125" customWidth="1"/>
    <col min="7" max="7" width="46.5703125" customWidth="1"/>
    <col min="8" max="26" width="10.285156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"/>
      <c r="B2" s="4"/>
      <c r="C2" s="162" t="s">
        <v>0</v>
      </c>
      <c r="D2" s="160"/>
      <c r="E2" s="160"/>
      <c r="F2" s="160"/>
      <c r="G2" s="161"/>
      <c r="H2" s="5"/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9" t="s">
        <v>2</v>
      </c>
      <c r="C4" s="163" t="s">
        <v>3</v>
      </c>
      <c r="D4" s="160"/>
      <c r="E4" s="161"/>
      <c r="F4" s="9" t="s">
        <v>4</v>
      </c>
      <c r="G4" s="10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9" t="s">
        <v>6</v>
      </c>
      <c r="C5" s="164" t="s">
        <v>7</v>
      </c>
      <c r="D5" s="160"/>
      <c r="E5" s="161"/>
      <c r="F5" s="9" t="s">
        <v>8</v>
      </c>
      <c r="G5" s="10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65" t="s">
        <v>10</v>
      </c>
      <c r="C6" s="167" t="s">
        <v>11</v>
      </c>
      <c r="D6" s="168"/>
      <c r="E6" s="169"/>
      <c r="F6" s="9" t="s">
        <v>12</v>
      </c>
      <c r="G6" s="1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66"/>
      <c r="C7" s="170"/>
      <c r="D7" s="171"/>
      <c r="E7" s="172"/>
      <c r="F7" s="9" t="s">
        <v>14</v>
      </c>
      <c r="G7" s="12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3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4" t="s">
        <v>16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5"/>
      <c r="B11" s="16" t="s">
        <v>18</v>
      </c>
      <c r="C11" s="17" t="s">
        <v>14</v>
      </c>
      <c r="D11" s="17" t="s">
        <v>19</v>
      </c>
      <c r="E11" s="17" t="s">
        <v>20</v>
      </c>
      <c r="F11" s="17" t="s">
        <v>21</v>
      </c>
      <c r="G11" s="18" t="s">
        <v>22</v>
      </c>
      <c r="H11" s="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9"/>
      <c r="B12" s="20">
        <f ca="1">NOW()</f>
        <v>45827.590142824076</v>
      </c>
      <c r="C12" s="21" t="s">
        <v>23</v>
      </c>
      <c r="D12" s="19"/>
      <c r="E12" s="22"/>
      <c r="F12" s="23"/>
      <c r="G12" s="24"/>
      <c r="H12" s="19" t="s">
        <v>24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25">
      <c r="A13" s="19"/>
      <c r="B13" s="20" t="s">
        <v>25</v>
      </c>
      <c r="C13" s="21" t="s">
        <v>26</v>
      </c>
      <c r="D13" s="22" t="s">
        <v>27</v>
      </c>
      <c r="E13" s="22" t="s">
        <v>28</v>
      </c>
      <c r="F13" s="22" t="s">
        <v>29</v>
      </c>
      <c r="G13" s="25" t="s">
        <v>30</v>
      </c>
      <c r="H13" s="19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25">
      <c r="A14" s="19"/>
      <c r="B14" s="20"/>
      <c r="C14" s="21"/>
      <c r="D14" s="22"/>
      <c r="E14" s="22" t="s">
        <v>32</v>
      </c>
      <c r="F14" s="22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"/>
      <c r="B15" s="2"/>
      <c r="C15" s="1"/>
      <c r="D15" s="1"/>
      <c r="E15" s="1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6" t="s">
        <v>34</v>
      </c>
      <c r="C17" s="1">
        <v>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26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7" t="s">
        <v>36</v>
      </c>
      <c r="C19" s="173" t="s">
        <v>37</v>
      </c>
      <c r="D19" s="160"/>
      <c r="E19" s="161"/>
      <c r="F19" s="28" t="s">
        <v>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9">
        <v>1</v>
      </c>
      <c r="C20" s="159"/>
      <c r="D20" s="160"/>
      <c r="E20" s="161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9">
        <v>2</v>
      </c>
      <c r="C21" s="159"/>
      <c r="D21" s="160"/>
      <c r="E21" s="161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9">
        <v>3</v>
      </c>
      <c r="C22" s="31"/>
      <c r="D22" s="32"/>
      <c r="E22" s="33"/>
      <c r="F22" s="3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9">
        <v>4</v>
      </c>
      <c r="C23" s="31"/>
      <c r="D23" s="32"/>
      <c r="E23" s="33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9">
        <v>5</v>
      </c>
      <c r="C24" s="31"/>
      <c r="D24" s="32"/>
      <c r="E24" s="33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9">
        <v>6</v>
      </c>
      <c r="C25" s="159"/>
      <c r="D25" s="160"/>
      <c r="E25" s="161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25:E25"/>
    <mergeCell ref="C2:G2"/>
    <mergeCell ref="C4:E4"/>
    <mergeCell ref="C5:E5"/>
    <mergeCell ref="B6:B7"/>
    <mergeCell ref="C6:E7"/>
    <mergeCell ref="C19:E19"/>
    <mergeCell ref="C20:E20"/>
    <mergeCell ref="C21:E2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13.42578125" customWidth="1"/>
    <col min="3" max="3" width="43.28515625" customWidth="1"/>
    <col min="4" max="4" width="34.85546875" customWidth="1"/>
    <col min="5" max="5" width="35.7109375" customWidth="1"/>
    <col min="6" max="6" width="42.7109375" customWidth="1"/>
    <col min="7" max="26" width="10.28515625" customWidth="1"/>
  </cols>
  <sheetData>
    <row r="1" spans="1:26" ht="12.75" customHeight="1" x14ac:dyDescent="0.35">
      <c r="A1" s="8"/>
      <c r="B1" s="34"/>
      <c r="C1" s="35"/>
      <c r="D1" s="36" t="s">
        <v>39</v>
      </c>
      <c r="E1" s="37"/>
      <c r="F1" s="3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34"/>
      <c r="C2" s="35"/>
      <c r="D2" s="38"/>
      <c r="E2" s="38"/>
      <c r="F2" s="3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74" t="s">
        <v>2</v>
      </c>
      <c r="C3" s="160"/>
      <c r="D3" s="175">
        <v>0</v>
      </c>
      <c r="E3" s="160"/>
      <c r="F3" s="16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74" t="s">
        <v>6</v>
      </c>
      <c r="C4" s="160"/>
      <c r="D4" s="175">
        <v>0</v>
      </c>
      <c r="E4" s="160"/>
      <c r="F4" s="16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39"/>
      <c r="B5" s="176" t="s">
        <v>40</v>
      </c>
      <c r="C5" s="161"/>
      <c r="D5" s="177" t="s">
        <v>41</v>
      </c>
      <c r="E5" s="160"/>
      <c r="F5" s="161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customHeight="1" x14ac:dyDescent="0.25">
      <c r="A6" s="8"/>
      <c r="B6" s="4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41"/>
      <c r="B7" s="42"/>
      <c r="C7" s="43"/>
      <c r="D7" s="43"/>
      <c r="E7" s="43"/>
      <c r="F7" s="43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2.75" customHeight="1" x14ac:dyDescent="0.25">
      <c r="A8" s="44"/>
      <c r="B8" s="45" t="s">
        <v>42</v>
      </c>
      <c r="C8" s="46" t="s">
        <v>43</v>
      </c>
      <c r="D8" s="46" t="s">
        <v>44</v>
      </c>
      <c r="E8" s="47" t="s">
        <v>45</v>
      </c>
      <c r="F8" s="48" t="s">
        <v>46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 x14ac:dyDescent="0.25">
      <c r="A9" s="8"/>
      <c r="B9" s="49">
        <v>1</v>
      </c>
      <c r="C9" s="50"/>
      <c r="D9" s="51"/>
      <c r="E9" s="52"/>
      <c r="F9" s="5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9">
        <v>2</v>
      </c>
      <c r="C10" s="50"/>
      <c r="D10" s="54"/>
      <c r="E10" s="52"/>
      <c r="F10" s="5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9">
        <v>3</v>
      </c>
      <c r="C11" s="50"/>
      <c r="D11" s="55"/>
      <c r="E11" s="52"/>
      <c r="F11" s="5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9">
        <v>4</v>
      </c>
      <c r="C12" s="50"/>
      <c r="D12" s="55"/>
      <c r="E12" s="52"/>
      <c r="F12" s="5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9">
        <v>5</v>
      </c>
      <c r="C13" s="50"/>
      <c r="D13" s="55"/>
      <c r="E13" s="56"/>
      <c r="F13" s="5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9">
        <v>6</v>
      </c>
      <c r="C14" s="50"/>
      <c r="D14" s="55"/>
      <c r="E14" s="56"/>
      <c r="F14" s="5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9">
        <v>7</v>
      </c>
      <c r="C15" s="57"/>
      <c r="D15" s="58"/>
      <c r="E15" s="59"/>
      <c r="F15" s="6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34"/>
      <c r="C16" s="35"/>
      <c r="D16" s="35"/>
      <c r="E16" s="35"/>
      <c r="F16" s="3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34"/>
      <c r="C17" s="35"/>
      <c r="D17" s="35"/>
      <c r="E17" s="35"/>
      <c r="F17" s="3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34"/>
      <c r="C18" s="35"/>
      <c r="D18" s="35"/>
      <c r="E18" s="35"/>
      <c r="F18" s="3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34"/>
      <c r="C19" s="35"/>
      <c r="D19" s="35"/>
      <c r="E19" s="35"/>
      <c r="F19" s="3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34"/>
      <c r="C20" s="35"/>
      <c r="D20" s="35"/>
      <c r="E20" s="35"/>
      <c r="F20" s="3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34"/>
      <c r="C21" s="35"/>
      <c r="D21" s="35"/>
      <c r="E21" s="35"/>
      <c r="F21" s="3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4"/>
      <c r="C22" s="35"/>
      <c r="D22" s="35"/>
      <c r="E22" s="35"/>
      <c r="F22" s="3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4"/>
      <c r="C23" s="35"/>
      <c r="D23" s="35"/>
      <c r="E23" s="35"/>
      <c r="F23" s="3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4"/>
      <c r="C24" s="35"/>
      <c r="D24" s="35"/>
      <c r="E24" s="35"/>
      <c r="F24" s="3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4"/>
      <c r="C25" s="35"/>
      <c r="D25" s="35"/>
      <c r="E25" s="35"/>
      <c r="F25" s="3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4"/>
      <c r="C26" s="35"/>
      <c r="D26" s="35"/>
      <c r="E26" s="35"/>
      <c r="F26" s="3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4"/>
      <c r="C27" s="35"/>
      <c r="D27" s="35"/>
      <c r="E27" s="35"/>
      <c r="F27" s="3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4"/>
      <c r="C28" s="35"/>
      <c r="D28" s="35"/>
      <c r="E28" s="35"/>
      <c r="F28" s="3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4"/>
      <c r="C29" s="35"/>
      <c r="D29" s="35"/>
      <c r="E29" s="35"/>
      <c r="F29" s="3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4"/>
      <c r="C30" s="35"/>
      <c r="D30" s="35"/>
      <c r="E30" s="35"/>
      <c r="F30" s="3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4"/>
      <c r="C31" s="35"/>
      <c r="D31" s="35"/>
      <c r="E31" s="35"/>
      <c r="F31" s="3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4"/>
      <c r="C32" s="35"/>
      <c r="D32" s="35"/>
      <c r="E32" s="35"/>
      <c r="F32" s="3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4"/>
      <c r="C33" s="35"/>
      <c r="D33" s="35"/>
      <c r="E33" s="35"/>
      <c r="F33" s="3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4"/>
      <c r="C34" s="35"/>
      <c r="D34" s="35"/>
      <c r="E34" s="35"/>
      <c r="F34" s="3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4"/>
      <c r="C35" s="35"/>
      <c r="D35" s="35"/>
      <c r="E35" s="35"/>
      <c r="F35" s="3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4"/>
      <c r="C36" s="35"/>
      <c r="D36" s="35"/>
      <c r="E36" s="35"/>
      <c r="F36" s="3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4"/>
      <c r="C37" s="35"/>
      <c r="D37" s="35"/>
      <c r="E37" s="35"/>
      <c r="F37" s="3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4"/>
      <c r="C38" s="35"/>
      <c r="D38" s="35"/>
      <c r="E38" s="35"/>
      <c r="F38" s="3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4"/>
      <c r="C39" s="35"/>
      <c r="D39" s="35"/>
      <c r="E39" s="35"/>
      <c r="F39" s="3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4"/>
      <c r="C40" s="35"/>
      <c r="D40" s="35"/>
      <c r="E40" s="35"/>
      <c r="F40" s="3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4"/>
      <c r="C41" s="35"/>
      <c r="D41" s="35"/>
      <c r="E41" s="35"/>
      <c r="F41" s="3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4"/>
      <c r="C42" s="35"/>
      <c r="D42" s="35"/>
      <c r="E42" s="35"/>
      <c r="F42" s="3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4"/>
      <c r="C43" s="35"/>
      <c r="D43" s="35"/>
      <c r="E43" s="35"/>
      <c r="F43" s="3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4"/>
      <c r="C44" s="35"/>
      <c r="D44" s="35"/>
      <c r="E44" s="35"/>
      <c r="F44" s="3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4"/>
      <c r="C45" s="35"/>
      <c r="D45" s="35"/>
      <c r="E45" s="35"/>
      <c r="F45" s="3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4"/>
      <c r="C46" s="35"/>
      <c r="D46" s="35"/>
      <c r="E46" s="35"/>
      <c r="F46" s="3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4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4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4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4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4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4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4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4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4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4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4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4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4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4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4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4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4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4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4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4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4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4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4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4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4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4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4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4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4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4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4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4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4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4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4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4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4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4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4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4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4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4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4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4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4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4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4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4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4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4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4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4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4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4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4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4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4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4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4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4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4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4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4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4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4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4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4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4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4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4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4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4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4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4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4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4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4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4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4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4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4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4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4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4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4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4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4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4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4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4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4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4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4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4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4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4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4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4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4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4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4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4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4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4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4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4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4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4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4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4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4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4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4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4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4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4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4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4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4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4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4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4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4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4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4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4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4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4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4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4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4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4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4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4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4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4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4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4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4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4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4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4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4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4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4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4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4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4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4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4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4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4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4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4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4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4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4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4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4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4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4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4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4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4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4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4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4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4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4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4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4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4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4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4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4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4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4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4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4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4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4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4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4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4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4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4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4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4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4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4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4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4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4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4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4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4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4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4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4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4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4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4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4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4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4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4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4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4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4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4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4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4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4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4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4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4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4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4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4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4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4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4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4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4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4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4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4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4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4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4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4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4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4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4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4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4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4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4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4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4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4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4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4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4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4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4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4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4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4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4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4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4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4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4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4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4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4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4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4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4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4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4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4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4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4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4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4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4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4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4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4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4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4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4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4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4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4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4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4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4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4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4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4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4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4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4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4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4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4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4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4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4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4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4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4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4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4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4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4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4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4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4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4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4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4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4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4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4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4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4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4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4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4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4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4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4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4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4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4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4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4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4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4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4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4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4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4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4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4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4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4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4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4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4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4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4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4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4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4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4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4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4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4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4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4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4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4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4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4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4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4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4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4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4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4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4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4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4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4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4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4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4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4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4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4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4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4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4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4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4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4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4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4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4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4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4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4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4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4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4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4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4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4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4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4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4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4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4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4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4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4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4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4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4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4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4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4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4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4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4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4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4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4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4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4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4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4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4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4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4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4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4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4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4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4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4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4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4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4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4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4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4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4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4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4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4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4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4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4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4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4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4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4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4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4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4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4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4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4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4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4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4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4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4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4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4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4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4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4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4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4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4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4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4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4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4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4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4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4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4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4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4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4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4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4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4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4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4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4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4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4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4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4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4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4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4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4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4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4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4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4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4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4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4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4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4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4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4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4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4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4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4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4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4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4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4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4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4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4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4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4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4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4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4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4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4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4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4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4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4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4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4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4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4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4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4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4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4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4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4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4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4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4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4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4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4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4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4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4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4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4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4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4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4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4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4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4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4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4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4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4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4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4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4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4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4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4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4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4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4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4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4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4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4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4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4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4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4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4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4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4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4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4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4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4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4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4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4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4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4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4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4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4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4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4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4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4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4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4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4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4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4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4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4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4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4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4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4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4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4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4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4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4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4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4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4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4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4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4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4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4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4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4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4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4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4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4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4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4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4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4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4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4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4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4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4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4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4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4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4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4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4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4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4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4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4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4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4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4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4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4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4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4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4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4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4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4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4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4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4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4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4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4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4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4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4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4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4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4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4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4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4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4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4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4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4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4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4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4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4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4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4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4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4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4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4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4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4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4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4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4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4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4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4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4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4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4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4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4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4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4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4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4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4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4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4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4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4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4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4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4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4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4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4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4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4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4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4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4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4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4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4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4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4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4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4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4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4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4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4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4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4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4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4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4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4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4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4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4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4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4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4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4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4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4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4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4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4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4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4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4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4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4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4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4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4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4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4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4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4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4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4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4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4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4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4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4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4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4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4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4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4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4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4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4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4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4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4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4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4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4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4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4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4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4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4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4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4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4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4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4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4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4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4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4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4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4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4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4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4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4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4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4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4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4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4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4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4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4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4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4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4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4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4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4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4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4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4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4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4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4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4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4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4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4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4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4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4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4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4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4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4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4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4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4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4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4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4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4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4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4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4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4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4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4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4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4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4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4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4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4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4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4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4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4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4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4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4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4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4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4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4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4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4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4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4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4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4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4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4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4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4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4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4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4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4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4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4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4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4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4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4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4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4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4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4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4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4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4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4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4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4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4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4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4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4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4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4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4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4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4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4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4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4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4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4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4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4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4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4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4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4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4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4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4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4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4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4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4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4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4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4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4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4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4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4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4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4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4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4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4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4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4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4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4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4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4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4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4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4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4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4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4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4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4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4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4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4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4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4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4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4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4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4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4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4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4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4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4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4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4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4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4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4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4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4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4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4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4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4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4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4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4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4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2578125" defaultRowHeight="15" customHeight="1" x14ac:dyDescent="0.25"/>
  <cols>
    <col min="1" max="1" width="21" customWidth="1"/>
    <col min="2" max="2" width="38.7109375" customWidth="1"/>
    <col min="3" max="3" width="52.5703125" customWidth="1"/>
    <col min="4" max="26" width="10.28515625" customWidth="1"/>
  </cols>
  <sheetData>
    <row r="1" spans="1:26" ht="25.5" x14ac:dyDescent="0.35">
      <c r="A1" s="61"/>
      <c r="B1" s="62"/>
      <c r="C1" s="63" t="s">
        <v>47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x14ac:dyDescent="0.25">
      <c r="A2" s="61"/>
      <c r="B2" s="62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x14ac:dyDescent="0.25">
      <c r="A3" s="66" t="s">
        <v>2</v>
      </c>
      <c r="B3" s="66"/>
      <c r="C3" s="67"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x14ac:dyDescent="0.25">
      <c r="A4" s="66" t="s">
        <v>6</v>
      </c>
      <c r="B4" s="66"/>
      <c r="C4" s="67">
        <v>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x14ac:dyDescent="0.25">
      <c r="A5" s="68"/>
      <c r="B5" s="68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5">
      <c r="A7" s="72" t="s">
        <v>48</v>
      </c>
      <c r="B7" s="72" t="s">
        <v>49</v>
      </c>
      <c r="C7" s="73" t="s">
        <v>50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5">
      <c r="A8" s="73" t="s">
        <v>51</v>
      </c>
      <c r="B8" s="74" t="s">
        <v>52</v>
      </c>
      <c r="C8" s="75"/>
      <c r="D8" s="71"/>
      <c r="E8" s="71"/>
      <c r="F8" s="71" t="s">
        <v>53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5">
      <c r="A9" s="73"/>
      <c r="B9" s="178" t="s">
        <v>54</v>
      </c>
      <c r="C9" s="75" t="s">
        <v>55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5">
      <c r="A10" s="73"/>
      <c r="B10" s="166"/>
      <c r="C10" s="75" t="s">
        <v>56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x14ac:dyDescent="0.25">
      <c r="A11" s="73"/>
      <c r="B11" s="76" t="s">
        <v>57</v>
      </c>
      <c r="C11" s="75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x14ac:dyDescent="0.25">
      <c r="A12" s="73"/>
      <c r="B12" s="76" t="s">
        <v>58</v>
      </c>
      <c r="C12" s="75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x14ac:dyDescent="0.25">
      <c r="A13" s="73"/>
      <c r="B13" s="74"/>
      <c r="C13" s="75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x14ac:dyDescent="0.25">
      <c r="A14" s="179" t="s">
        <v>59</v>
      </c>
      <c r="B14" s="181" t="s">
        <v>60</v>
      </c>
      <c r="C14" s="182" t="s">
        <v>61</v>
      </c>
      <c r="D14" s="77" t="s">
        <v>62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x14ac:dyDescent="0.25">
      <c r="A15" s="180"/>
      <c r="B15" s="180"/>
      <c r="C15" s="170"/>
      <c r="D15" s="77" t="s">
        <v>63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x14ac:dyDescent="0.25">
      <c r="A16" s="180"/>
      <c r="B16" s="180"/>
      <c r="C16" s="75" t="s">
        <v>64</v>
      </c>
      <c r="D16" s="77" t="s">
        <v>65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x14ac:dyDescent="0.25">
      <c r="A17" s="180"/>
      <c r="B17" s="180"/>
      <c r="C17" s="75" t="s">
        <v>66</v>
      </c>
      <c r="D17" s="77" t="s">
        <v>67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x14ac:dyDescent="0.25">
      <c r="A18" s="180"/>
      <c r="B18" s="180"/>
      <c r="C18" s="75" t="s">
        <v>68</v>
      </c>
      <c r="D18" s="77" t="s">
        <v>69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x14ac:dyDescent="0.25">
      <c r="A19" s="180"/>
      <c r="B19" s="166"/>
      <c r="C19" s="71" t="s">
        <v>70</v>
      </c>
      <c r="D19" s="77" t="s">
        <v>71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x14ac:dyDescent="0.25">
      <c r="A20" s="180"/>
      <c r="B20" s="74" t="s">
        <v>72</v>
      </c>
      <c r="C20" s="75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x14ac:dyDescent="0.25">
      <c r="A21" s="180"/>
      <c r="B21" s="74" t="s">
        <v>73</v>
      </c>
      <c r="C21" s="75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 x14ac:dyDescent="0.25">
      <c r="A22" s="180"/>
      <c r="B22" s="74" t="s">
        <v>74</v>
      </c>
      <c r="C22" s="75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 x14ac:dyDescent="0.25">
      <c r="A23" s="180"/>
      <c r="B23" s="74" t="s">
        <v>75</v>
      </c>
      <c r="C23" s="75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 x14ac:dyDescent="0.25">
      <c r="A24" s="180"/>
      <c r="B24" s="74" t="s">
        <v>76</v>
      </c>
      <c r="C24" s="75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 x14ac:dyDescent="0.25">
      <c r="A25" s="180"/>
      <c r="B25" s="74" t="s">
        <v>77</v>
      </c>
      <c r="C25" s="75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 x14ac:dyDescent="0.25">
      <c r="A26" s="166"/>
      <c r="B26" s="74" t="s">
        <v>78</v>
      </c>
      <c r="C26" s="75" t="s">
        <v>79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 x14ac:dyDescent="0.2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 x14ac:dyDescent="0.2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 x14ac:dyDescent="0.2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 x14ac:dyDescent="0.2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 x14ac:dyDescent="0.2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 x14ac:dyDescent="0.2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 x14ac:dyDescent="0.2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 x14ac:dyDescent="0.2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 x14ac:dyDescent="0.2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 x14ac:dyDescent="0.2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 x14ac:dyDescent="0.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 x14ac:dyDescent="0.2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 x14ac:dyDescent="0.2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 x14ac:dyDescent="0.25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 x14ac:dyDescent="0.25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 x14ac:dyDescent="0.25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 x14ac:dyDescent="0.25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 x14ac:dyDescent="0.2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 x14ac:dyDescent="0.2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 x14ac:dyDescent="0.2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 x14ac:dyDescent="0.25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 x14ac:dyDescent="0.2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 x14ac:dyDescent="0.25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 x14ac:dyDescent="0.25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 x14ac:dyDescent="0.2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 x14ac:dyDescent="0.2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 x14ac:dyDescent="0.25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 x14ac:dyDescent="0.25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 x14ac:dyDescent="0.2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 x14ac:dyDescent="0.2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 x14ac:dyDescent="0.2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 x14ac:dyDescent="0.2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 x14ac:dyDescent="0.2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 x14ac:dyDescent="0.2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 x14ac:dyDescent="0.2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 x14ac:dyDescent="0.2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 x14ac:dyDescent="0.2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 x14ac:dyDescent="0.2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 x14ac:dyDescent="0.2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 x14ac:dyDescent="0.2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 x14ac:dyDescent="0.2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 x14ac:dyDescent="0.2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 x14ac:dyDescent="0.2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 x14ac:dyDescent="0.2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 x14ac:dyDescent="0.2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 x14ac:dyDescent="0.2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 x14ac:dyDescent="0.2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 x14ac:dyDescent="0.2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 x14ac:dyDescent="0.2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 x14ac:dyDescent="0.2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 x14ac:dyDescent="0.2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 x14ac:dyDescent="0.2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 x14ac:dyDescent="0.2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 x14ac:dyDescent="0.2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 x14ac:dyDescent="0.2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 x14ac:dyDescent="0.2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 x14ac:dyDescent="0.2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 x14ac:dyDescent="0.2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 x14ac:dyDescent="0.2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 x14ac:dyDescent="0.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 x14ac:dyDescent="0.2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 x14ac:dyDescent="0.2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 x14ac:dyDescent="0.2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 x14ac:dyDescent="0.2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 x14ac:dyDescent="0.2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 x14ac:dyDescent="0.2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 x14ac:dyDescent="0.2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 x14ac:dyDescent="0.2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 x14ac:dyDescent="0.2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 x14ac:dyDescent="0.2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 x14ac:dyDescent="0.2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 x14ac:dyDescent="0.2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 x14ac:dyDescent="0.2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 x14ac:dyDescent="0.2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 x14ac:dyDescent="0.2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 x14ac:dyDescent="0.2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 x14ac:dyDescent="0.2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 x14ac:dyDescent="0.2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 x14ac:dyDescent="0.2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 x14ac:dyDescent="0.2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 x14ac:dyDescent="0.2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 x14ac:dyDescent="0.2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 x14ac:dyDescent="0.2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 x14ac:dyDescent="0.2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 x14ac:dyDescent="0.2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 x14ac:dyDescent="0.2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 x14ac:dyDescent="0.2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 x14ac:dyDescent="0.2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 x14ac:dyDescent="0.2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 x14ac:dyDescent="0.2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 x14ac:dyDescent="0.2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 x14ac:dyDescent="0.2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 x14ac:dyDescent="0.2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 x14ac:dyDescent="0.2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 x14ac:dyDescent="0.2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 x14ac:dyDescent="0.2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 x14ac:dyDescent="0.2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 x14ac:dyDescent="0.2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 x14ac:dyDescent="0.2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 x14ac:dyDescent="0.2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 x14ac:dyDescent="0.2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 x14ac:dyDescent="0.2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 x14ac:dyDescent="0.2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 x14ac:dyDescent="0.2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 x14ac:dyDescent="0.2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 x14ac:dyDescent="0.2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 x14ac:dyDescent="0.2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 x14ac:dyDescent="0.2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 x14ac:dyDescent="0.2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 x14ac:dyDescent="0.2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 x14ac:dyDescent="0.2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 x14ac:dyDescent="0.2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 x14ac:dyDescent="0.2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 x14ac:dyDescent="0.2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 x14ac:dyDescent="0.2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 x14ac:dyDescent="0.2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 x14ac:dyDescent="0.2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 x14ac:dyDescent="0.2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 x14ac:dyDescent="0.2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 x14ac:dyDescent="0.2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 x14ac:dyDescent="0.2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 x14ac:dyDescent="0.2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 x14ac:dyDescent="0.2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 x14ac:dyDescent="0.2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 x14ac:dyDescent="0.2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 x14ac:dyDescent="0.2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 x14ac:dyDescent="0.2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 x14ac:dyDescent="0.2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 x14ac:dyDescent="0.2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 x14ac:dyDescent="0.2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 x14ac:dyDescent="0.2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 x14ac:dyDescent="0.2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 x14ac:dyDescent="0.2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 x14ac:dyDescent="0.2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 x14ac:dyDescent="0.2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 x14ac:dyDescent="0.2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 x14ac:dyDescent="0.2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 x14ac:dyDescent="0.2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 x14ac:dyDescent="0.2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 x14ac:dyDescent="0.2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 x14ac:dyDescent="0.2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 x14ac:dyDescent="0.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 x14ac:dyDescent="0.2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 x14ac:dyDescent="0.2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 x14ac:dyDescent="0.2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 x14ac:dyDescent="0.2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 x14ac:dyDescent="0.2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 x14ac:dyDescent="0.2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 x14ac:dyDescent="0.2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 x14ac:dyDescent="0.2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 x14ac:dyDescent="0.2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 x14ac:dyDescent="0.2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 x14ac:dyDescent="0.2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 x14ac:dyDescent="0.2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 x14ac:dyDescent="0.2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 x14ac:dyDescent="0.2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 x14ac:dyDescent="0.2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 x14ac:dyDescent="0.2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 x14ac:dyDescent="0.2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 x14ac:dyDescent="0.2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 x14ac:dyDescent="0.2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 x14ac:dyDescent="0.2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 x14ac:dyDescent="0.2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 x14ac:dyDescent="0.2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 x14ac:dyDescent="0.2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 x14ac:dyDescent="0.2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 x14ac:dyDescent="0.2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 x14ac:dyDescent="0.2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 x14ac:dyDescent="0.2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 x14ac:dyDescent="0.2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 x14ac:dyDescent="0.2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 x14ac:dyDescent="0.2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 x14ac:dyDescent="0.2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 x14ac:dyDescent="0.2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 x14ac:dyDescent="0.2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 x14ac:dyDescent="0.2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 x14ac:dyDescent="0.2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 x14ac:dyDescent="0.2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 x14ac:dyDescent="0.2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 x14ac:dyDescent="0.2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 x14ac:dyDescent="0.2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 x14ac:dyDescent="0.2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 x14ac:dyDescent="0.2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 x14ac:dyDescent="0.2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 x14ac:dyDescent="0.2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 x14ac:dyDescent="0.2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 x14ac:dyDescent="0.2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 x14ac:dyDescent="0.2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 x14ac:dyDescent="0.2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 x14ac:dyDescent="0.2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 x14ac:dyDescent="0.2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 x14ac:dyDescent="0.2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 x14ac:dyDescent="0.2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 x14ac:dyDescent="0.2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 x14ac:dyDescent="0.2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 x14ac:dyDescent="0.2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 x14ac:dyDescent="0.2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 x14ac:dyDescent="0.2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 x14ac:dyDescent="0.2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 x14ac:dyDescent="0.2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 x14ac:dyDescent="0.2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 x14ac:dyDescent="0.2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 x14ac:dyDescent="0.2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 x14ac:dyDescent="0.2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 x14ac:dyDescent="0.2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 x14ac:dyDescent="0.2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 x14ac:dyDescent="0.2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 x14ac:dyDescent="0.2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 x14ac:dyDescent="0.2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 x14ac:dyDescent="0.2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 x14ac:dyDescent="0.2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 x14ac:dyDescent="0.2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 x14ac:dyDescent="0.2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 x14ac:dyDescent="0.2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 x14ac:dyDescent="0.2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 x14ac:dyDescent="0.2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 x14ac:dyDescent="0.2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 x14ac:dyDescent="0.2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 x14ac:dyDescent="0.2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 x14ac:dyDescent="0.2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 x14ac:dyDescent="0.2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 x14ac:dyDescent="0.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 x14ac:dyDescent="0.2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 x14ac:dyDescent="0.2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 x14ac:dyDescent="0.2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 x14ac:dyDescent="0.2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 x14ac:dyDescent="0.2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 x14ac:dyDescent="0.2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 x14ac:dyDescent="0.2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 x14ac:dyDescent="0.2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 x14ac:dyDescent="0.2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 x14ac:dyDescent="0.2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 x14ac:dyDescent="0.2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 x14ac:dyDescent="0.2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 x14ac:dyDescent="0.2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 x14ac:dyDescent="0.2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 x14ac:dyDescent="0.2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 x14ac:dyDescent="0.2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 x14ac:dyDescent="0.2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 x14ac:dyDescent="0.2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 x14ac:dyDescent="0.2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 x14ac:dyDescent="0.2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 x14ac:dyDescent="0.2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 x14ac:dyDescent="0.2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 x14ac:dyDescent="0.2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 x14ac:dyDescent="0.2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 x14ac:dyDescent="0.2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 x14ac:dyDescent="0.2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 x14ac:dyDescent="0.2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 x14ac:dyDescent="0.2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 x14ac:dyDescent="0.2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 x14ac:dyDescent="0.2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 x14ac:dyDescent="0.2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 x14ac:dyDescent="0.2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 x14ac:dyDescent="0.2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 x14ac:dyDescent="0.2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 x14ac:dyDescent="0.2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 x14ac:dyDescent="0.2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 x14ac:dyDescent="0.2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 x14ac:dyDescent="0.2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 x14ac:dyDescent="0.2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 x14ac:dyDescent="0.2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 x14ac:dyDescent="0.2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 x14ac:dyDescent="0.2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 x14ac:dyDescent="0.2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 x14ac:dyDescent="0.2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 x14ac:dyDescent="0.2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 x14ac:dyDescent="0.2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 x14ac:dyDescent="0.2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 x14ac:dyDescent="0.2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 x14ac:dyDescent="0.2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 x14ac:dyDescent="0.2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 x14ac:dyDescent="0.2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 x14ac:dyDescent="0.2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 x14ac:dyDescent="0.2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 x14ac:dyDescent="0.2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 x14ac:dyDescent="0.2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 x14ac:dyDescent="0.2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 x14ac:dyDescent="0.2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 x14ac:dyDescent="0.2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 x14ac:dyDescent="0.2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 x14ac:dyDescent="0.2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 x14ac:dyDescent="0.2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 x14ac:dyDescent="0.2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 x14ac:dyDescent="0.2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 x14ac:dyDescent="0.2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 x14ac:dyDescent="0.2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 x14ac:dyDescent="0.2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 x14ac:dyDescent="0.2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 x14ac:dyDescent="0.2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 x14ac:dyDescent="0.2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 x14ac:dyDescent="0.2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 x14ac:dyDescent="0.2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 x14ac:dyDescent="0.2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 x14ac:dyDescent="0.2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 x14ac:dyDescent="0.2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 x14ac:dyDescent="0.2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 x14ac:dyDescent="0.2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 x14ac:dyDescent="0.2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 x14ac:dyDescent="0.2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 x14ac:dyDescent="0.2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 x14ac:dyDescent="0.2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 x14ac:dyDescent="0.2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 x14ac:dyDescent="0.2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 x14ac:dyDescent="0.2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 x14ac:dyDescent="0.2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 x14ac:dyDescent="0.2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 x14ac:dyDescent="0.2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 x14ac:dyDescent="0.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 x14ac:dyDescent="0.2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 x14ac:dyDescent="0.2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 x14ac:dyDescent="0.2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 x14ac:dyDescent="0.2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 x14ac:dyDescent="0.2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 x14ac:dyDescent="0.2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 x14ac:dyDescent="0.2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 x14ac:dyDescent="0.2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 x14ac:dyDescent="0.2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 x14ac:dyDescent="0.2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 x14ac:dyDescent="0.2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 x14ac:dyDescent="0.2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 x14ac:dyDescent="0.2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 x14ac:dyDescent="0.2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 x14ac:dyDescent="0.2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 x14ac:dyDescent="0.2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 x14ac:dyDescent="0.2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 x14ac:dyDescent="0.2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 x14ac:dyDescent="0.2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 x14ac:dyDescent="0.2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 x14ac:dyDescent="0.2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 x14ac:dyDescent="0.2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 x14ac:dyDescent="0.2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 x14ac:dyDescent="0.2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 x14ac:dyDescent="0.2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 x14ac:dyDescent="0.2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 x14ac:dyDescent="0.2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 x14ac:dyDescent="0.2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 x14ac:dyDescent="0.2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 x14ac:dyDescent="0.2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 x14ac:dyDescent="0.2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 x14ac:dyDescent="0.2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 x14ac:dyDescent="0.2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 x14ac:dyDescent="0.2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 x14ac:dyDescent="0.2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 x14ac:dyDescent="0.2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 x14ac:dyDescent="0.2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 x14ac:dyDescent="0.2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 x14ac:dyDescent="0.2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 x14ac:dyDescent="0.2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 x14ac:dyDescent="0.2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 x14ac:dyDescent="0.2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 x14ac:dyDescent="0.2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 x14ac:dyDescent="0.2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 x14ac:dyDescent="0.2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 x14ac:dyDescent="0.2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 x14ac:dyDescent="0.2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 x14ac:dyDescent="0.2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 x14ac:dyDescent="0.2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 x14ac:dyDescent="0.2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 x14ac:dyDescent="0.2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 x14ac:dyDescent="0.2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 x14ac:dyDescent="0.2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 x14ac:dyDescent="0.2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 x14ac:dyDescent="0.2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 x14ac:dyDescent="0.2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 x14ac:dyDescent="0.2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 x14ac:dyDescent="0.2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 x14ac:dyDescent="0.2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 x14ac:dyDescent="0.2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 x14ac:dyDescent="0.2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 x14ac:dyDescent="0.2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 x14ac:dyDescent="0.2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 x14ac:dyDescent="0.2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 x14ac:dyDescent="0.2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 x14ac:dyDescent="0.2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 x14ac:dyDescent="0.2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 x14ac:dyDescent="0.2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 x14ac:dyDescent="0.2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 x14ac:dyDescent="0.2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 x14ac:dyDescent="0.2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 x14ac:dyDescent="0.2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 x14ac:dyDescent="0.2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 x14ac:dyDescent="0.2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 x14ac:dyDescent="0.2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 x14ac:dyDescent="0.2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 x14ac:dyDescent="0.2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 x14ac:dyDescent="0.2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 x14ac:dyDescent="0.2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 x14ac:dyDescent="0.2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 x14ac:dyDescent="0.2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 x14ac:dyDescent="0.2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 x14ac:dyDescent="0.2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 x14ac:dyDescent="0.2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 x14ac:dyDescent="0.2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 x14ac:dyDescent="0.2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 x14ac:dyDescent="0.2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 x14ac:dyDescent="0.2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 x14ac:dyDescent="0.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 x14ac:dyDescent="0.2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 x14ac:dyDescent="0.2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 x14ac:dyDescent="0.2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 x14ac:dyDescent="0.2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 x14ac:dyDescent="0.2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 x14ac:dyDescent="0.2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 x14ac:dyDescent="0.2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 x14ac:dyDescent="0.2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 x14ac:dyDescent="0.2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 x14ac:dyDescent="0.2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 x14ac:dyDescent="0.2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 x14ac:dyDescent="0.2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 x14ac:dyDescent="0.2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 x14ac:dyDescent="0.2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 x14ac:dyDescent="0.2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 x14ac:dyDescent="0.2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 x14ac:dyDescent="0.2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 x14ac:dyDescent="0.2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 x14ac:dyDescent="0.2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 x14ac:dyDescent="0.2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 x14ac:dyDescent="0.2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 x14ac:dyDescent="0.2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 x14ac:dyDescent="0.2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 x14ac:dyDescent="0.2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 x14ac:dyDescent="0.2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 x14ac:dyDescent="0.2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 x14ac:dyDescent="0.2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 x14ac:dyDescent="0.2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 x14ac:dyDescent="0.2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 x14ac:dyDescent="0.2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 x14ac:dyDescent="0.2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 x14ac:dyDescent="0.2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 x14ac:dyDescent="0.2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 x14ac:dyDescent="0.2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 x14ac:dyDescent="0.2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 x14ac:dyDescent="0.2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 x14ac:dyDescent="0.2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 x14ac:dyDescent="0.2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 x14ac:dyDescent="0.2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 x14ac:dyDescent="0.2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 x14ac:dyDescent="0.2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 x14ac:dyDescent="0.2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 x14ac:dyDescent="0.2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 x14ac:dyDescent="0.2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 x14ac:dyDescent="0.2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 x14ac:dyDescent="0.2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 x14ac:dyDescent="0.2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 x14ac:dyDescent="0.2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 x14ac:dyDescent="0.2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 x14ac:dyDescent="0.2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 x14ac:dyDescent="0.2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 x14ac:dyDescent="0.2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 x14ac:dyDescent="0.2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 x14ac:dyDescent="0.2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 x14ac:dyDescent="0.2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 x14ac:dyDescent="0.2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 x14ac:dyDescent="0.2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 x14ac:dyDescent="0.2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 x14ac:dyDescent="0.2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 x14ac:dyDescent="0.2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 x14ac:dyDescent="0.2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 x14ac:dyDescent="0.2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 x14ac:dyDescent="0.2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 x14ac:dyDescent="0.2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 x14ac:dyDescent="0.2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 x14ac:dyDescent="0.2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 x14ac:dyDescent="0.2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 x14ac:dyDescent="0.2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 x14ac:dyDescent="0.2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 x14ac:dyDescent="0.2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 x14ac:dyDescent="0.2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 x14ac:dyDescent="0.2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 x14ac:dyDescent="0.2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 x14ac:dyDescent="0.2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 x14ac:dyDescent="0.2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 x14ac:dyDescent="0.2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 x14ac:dyDescent="0.2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 x14ac:dyDescent="0.2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 x14ac:dyDescent="0.2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 x14ac:dyDescent="0.2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 x14ac:dyDescent="0.2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 x14ac:dyDescent="0.2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 x14ac:dyDescent="0.2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 x14ac:dyDescent="0.2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 x14ac:dyDescent="0.2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 x14ac:dyDescent="0.2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 x14ac:dyDescent="0.2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 x14ac:dyDescent="0.2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 x14ac:dyDescent="0.2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 x14ac:dyDescent="0.2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 x14ac:dyDescent="0.2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 x14ac:dyDescent="0.2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 x14ac:dyDescent="0.2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 x14ac:dyDescent="0.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 x14ac:dyDescent="0.2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 x14ac:dyDescent="0.2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 x14ac:dyDescent="0.2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 x14ac:dyDescent="0.2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 x14ac:dyDescent="0.2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 x14ac:dyDescent="0.2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 x14ac:dyDescent="0.2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 x14ac:dyDescent="0.2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 x14ac:dyDescent="0.2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 x14ac:dyDescent="0.2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 x14ac:dyDescent="0.2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 x14ac:dyDescent="0.2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 x14ac:dyDescent="0.2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 x14ac:dyDescent="0.2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 x14ac:dyDescent="0.2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 x14ac:dyDescent="0.2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 x14ac:dyDescent="0.2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 x14ac:dyDescent="0.2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 x14ac:dyDescent="0.2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 x14ac:dyDescent="0.2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 x14ac:dyDescent="0.2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 x14ac:dyDescent="0.2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 x14ac:dyDescent="0.2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 x14ac:dyDescent="0.2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 x14ac:dyDescent="0.2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 x14ac:dyDescent="0.2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 x14ac:dyDescent="0.2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 x14ac:dyDescent="0.2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 x14ac:dyDescent="0.2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 x14ac:dyDescent="0.2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 x14ac:dyDescent="0.2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 x14ac:dyDescent="0.2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 x14ac:dyDescent="0.2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 x14ac:dyDescent="0.2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 x14ac:dyDescent="0.2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 x14ac:dyDescent="0.2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 x14ac:dyDescent="0.2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 x14ac:dyDescent="0.2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 x14ac:dyDescent="0.2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 x14ac:dyDescent="0.2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 x14ac:dyDescent="0.2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 x14ac:dyDescent="0.2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 x14ac:dyDescent="0.2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 x14ac:dyDescent="0.2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 x14ac:dyDescent="0.2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 x14ac:dyDescent="0.2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 x14ac:dyDescent="0.2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 x14ac:dyDescent="0.2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 x14ac:dyDescent="0.2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 x14ac:dyDescent="0.2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 x14ac:dyDescent="0.2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 x14ac:dyDescent="0.2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 x14ac:dyDescent="0.2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 x14ac:dyDescent="0.2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 x14ac:dyDescent="0.2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 x14ac:dyDescent="0.2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 x14ac:dyDescent="0.2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 x14ac:dyDescent="0.2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 x14ac:dyDescent="0.2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 x14ac:dyDescent="0.2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 x14ac:dyDescent="0.2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 x14ac:dyDescent="0.2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 x14ac:dyDescent="0.2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 x14ac:dyDescent="0.2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 x14ac:dyDescent="0.2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 x14ac:dyDescent="0.2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 x14ac:dyDescent="0.2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 x14ac:dyDescent="0.2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 x14ac:dyDescent="0.2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 x14ac:dyDescent="0.2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 x14ac:dyDescent="0.2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 x14ac:dyDescent="0.2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 x14ac:dyDescent="0.2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 x14ac:dyDescent="0.2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 x14ac:dyDescent="0.2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 x14ac:dyDescent="0.2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 x14ac:dyDescent="0.2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 x14ac:dyDescent="0.2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 x14ac:dyDescent="0.2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 x14ac:dyDescent="0.2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 x14ac:dyDescent="0.2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 x14ac:dyDescent="0.2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 x14ac:dyDescent="0.2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 x14ac:dyDescent="0.2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 x14ac:dyDescent="0.2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 x14ac:dyDescent="0.2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 x14ac:dyDescent="0.2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 x14ac:dyDescent="0.2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 x14ac:dyDescent="0.2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 x14ac:dyDescent="0.2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 x14ac:dyDescent="0.2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 x14ac:dyDescent="0.2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 x14ac:dyDescent="0.2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 x14ac:dyDescent="0.2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 x14ac:dyDescent="0.2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 x14ac:dyDescent="0.2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 x14ac:dyDescent="0.2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 x14ac:dyDescent="0.2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 x14ac:dyDescent="0.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 x14ac:dyDescent="0.2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 x14ac:dyDescent="0.2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 x14ac:dyDescent="0.2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 x14ac:dyDescent="0.2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 x14ac:dyDescent="0.2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 x14ac:dyDescent="0.2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 x14ac:dyDescent="0.2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 x14ac:dyDescent="0.2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 x14ac:dyDescent="0.2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 x14ac:dyDescent="0.2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 x14ac:dyDescent="0.2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 x14ac:dyDescent="0.2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 x14ac:dyDescent="0.2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 x14ac:dyDescent="0.2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 x14ac:dyDescent="0.2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 x14ac:dyDescent="0.2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 x14ac:dyDescent="0.2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 x14ac:dyDescent="0.2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 x14ac:dyDescent="0.2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 x14ac:dyDescent="0.2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 x14ac:dyDescent="0.2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 x14ac:dyDescent="0.2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 x14ac:dyDescent="0.2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 x14ac:dyDescent="0.2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 x14ac:dyDescent="0.2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 x14ac:dyDescent="0.2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 x14ac:dyDescent="0.2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 x14ac:dyDescent="0.2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 x14ac:dyDescent="0.2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 x14ac:dyDescent="0.2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 x14ac:dyDescent="0.2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 x14ac:dyDescent="0.2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 x14ac:dyDescent="0.2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 x14ac:dyDescent="0.2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 x14ac:dyDescent="0.2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 x14ac:dyDescent="0.2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 x14ac:dyDescent="0.2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 x14ac:dyDescent="0.2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 x14ac:dyDescent="0.2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 x14ac:dyDescent="0.2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 x14ac:dyDescent="0.2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 x14ac:dyDescent="0.2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 x14ac:dyDescent="0.2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 x14ac:dyDescent="0.2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 x14ac:dyDescent="0.2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 x14ac:dyDescent="0.2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 x14ac:dyDescent="0.2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 x14ac:dyDescent="0.2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 x14ac:dyDescent="0.2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 x14ac:dyDescent="0.2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 x14ac:dyDescent="0.2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 x14ac:dyDescent="0.2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 x14ac:dyDescent="0.2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 x14ac:dyDescent="0.2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 x14ac:dyDescent="0.2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 x14ac:dyDescent="0.2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 x14ac:dyDescent="0.2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 x14ac:dyDescent="0.2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 x14ac:dyDescent="0.2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 x14ac:dyDescent="0.2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 x14ac:dyDescent="0.2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 x14ac:dyDescent="0.2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 x14ac:dyDescent="0.2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 x14ac:dyDescent="0.2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 x14ac:dyDescent="0.2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 x14ac:dyDescent="0.2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 x14ac:dyDescent="0.2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 x14ac:dyDescent="0.2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 x14ac:dyDescent="0.2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 x14ac:dyDescent="0.2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 x14ac:dyDescent="0.2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 x14ac:dyDescent="0.2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 x14ac:dyDescent="0.2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 x14ac:dyDescent="0.2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 x14ac:dyDescent="0.2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 x14ac:dyDescent="0.2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 x14ac:dyDescent="0.2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 x14ac:dyDescent="0.2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 x14ac:dyDescent="0.2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 x14ac:dyDescent="0.2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 x14ac:dyDescent="0.2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 x14ac:dyDescent="0.2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 x14ac:dyDescent="0.2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 x14ac:dyDescent="0.2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 x14ac:dyDescent="0.2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 x14ac:dyDescent="0.2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 x14ac:dyDescent="0.2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 x14ac:dyDescent="0.2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 x14ac:dyDescent="0.2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 x14ac:dyDescent="0.2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 x14ac:dyDescent="0.2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 x14ac:dyDescent="0.2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 x14ac:dyDescent="0.2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 x14ac:dyDescent="0.2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 x14ac:dyDescent="0.2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 x14ac:dyDescent="0.2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 x14ac:dyDescent="0.2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 x14ac:dyDescent="0.2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 x14ac:dyDescent="0.2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 x14ac:dyDescent="0.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 x14ac:dyDescent="0.2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 x14ac:dyDescent="0.2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 x14ac:dyDescent="0.2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 x14ac:dyDescent="0.2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 x14ac:dyDescent="0.2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 x14ac:dyDescent="0.2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 x14ac:dyDescent="0.2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 x14ac:dyDescent="0.2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 x14ac:dyDescent="0.2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 x14ac:dyDescent="0.2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 x14ac:dyDescent="0.2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 x14ac:dyDescent="0.2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 x14ac:dyDescent="0.2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 x14ac:dyDescent="0.2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 x14ac:dyDescent="0.2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 x14ac:dyDescent="0.2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 x14ac:dyDescent="0.2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 x14ac:dyDescent="0.2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 x14ac:dyDescent="0.2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 x14ac:dyDescent="0.2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 x14ac:dyDescent="0.2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 x14ac:dyDescent="0.2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 x14ac:dyDescent="0.2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 x14ac:dyDescent="0.2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 x14ac:dyDescent="0.2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 x14ac:dyDescent="0.2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 x14ac:dyDescent="0.2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 x14ac:dyDescent="0.2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 x14ac:dyDescent="0.2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 x14ac:dyDescent="0.2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 x14ac:dyDescent="0.2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 x14ac:dyDescent="0.2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 x14ac:dyDescent="0.2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 x14ac:dyDescent="0.2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 x14ac:dyDescent="0.2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 x14ac:dyDescent="0.2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 x14ac:dyDescent="0.2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 x14ac:dyDescent="0.2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 x14ac:dyDescent="0.2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 x14ac:dyDescent="0.2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 x14ac:dyDescent="0.2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 x14ac:dyDescent="0.2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 x14ac:dyDescent="0.2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 x14ac:dyDescent="0.2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 x14ac:dyDescent="0.2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 x14ac:dyDescent="0.2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 x14ac:dyDescent="0.2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 x14ac:dyDescent="0.2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 x14ac:dyDescent="0.2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 x14ac:dyDescent="0.2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 x14ac:dyDescent="0.2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 x14ac:dyDescent="0.2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 x14ac:dyDescent="0.2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 x14ac:dyDescent="0.2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 x14ac:dyDescent="0.2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 x14ac:dyDescent="0.2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 x14ac:dyDescent="0.2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 x14ac:dyDescent="0.2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 x14ac:dyDescent="0.2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 x14ac:dyDescent="0.2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 x14ac:dyDescent="0.2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 x14ac:dyDescent="0.2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 x14ac:dyDescent="0.2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 x14ac:dyDescent="0.2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 x14ac:dyDescent="0.2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 x14ac:dyDescent="0.2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 x14ac:dyDescent="0.2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 x14ac:dyDescent="0.2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 x14ac:dyDescent="0.2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 x14ac:dyDescent="0.2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 x14ac:dyDescent="0.2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 x14ac:dyDescent="0.2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 x14ac:dyDescent="0.2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 x14ac:dyDescent="0.2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 x14ac:dyDescent="0.2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 x14ac:dyDescent="0.2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 x14ac:dyDescent="0.2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 x14ac:dyDescent="0.2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 x14ac:dyDescent="0.2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 x14ac:dyDescent="0.2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 x14ac:dyDescent="0.2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 x14ac:dyDescent="0.2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 x14ac:dyDescent="0.2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 x14ac:dyDescent="0.2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 x14ac:dyDescent="0.2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 x14ac:dyDescent="0.2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 x14ac:dyDescent="0.2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 x14ac:dyDescent="0.2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 x14ac:dyDescent="0.2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 x14ac:dyDescent="0.2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 x14ac:dyDescent="0.2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 x14ac:dyDescent="0.2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 x14ac:dyDescent="0.2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 x14ac:dyDescent="0.2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 x14ac:dyDescent="0.2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 x14ac:dyDescent="0.2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 x14ac:dyDescent="0.2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 x14ac:dyDescent="0.2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 x14ac:dyDescent="0.2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 x14ac:dyDescent="0.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 x14ac:dyDescent="0.2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 x14ac:dyDescent="0.2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 x14ac:dyDescent="0.2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 x14ac:dyDescent="0.2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 x14ac:dyDescent="0.2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 x14ac:dyDescent="0.2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 x14ac:dyDescent="0.2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 x14ac:dyDescent="0.2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 x14ac:dyDescent="0.2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 x14ac:dyDescent="0.2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 x14ac:dyDescent="0.2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 x14ac:dyDescent="0.2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 x14ac:dyDescent="0.2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 x14ac:dyDescent="0.2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 x14ac:dyDescent="0.2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 x14ac:dyDescent="0.2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 x14ac:dyDescent="0.2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 x14ac:dyDescent="0.2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 x14ac:dyDescent="0.2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 x14ac:dyDescent="0.2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 x14ac:dyDescent="0.2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 x14ac:dyDescent="0.2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 x14ac:dyDescent="0.2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 x14ac:dyDescent="0.2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 x14ac:dyDescent="0.2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 x14ac:dyDescent="0.2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 x14ac:dyDescent="0.2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 x14ac:dyDescent="0.2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 x14ac:dyDescent="0.2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 x14ac:dyDescent="0.2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 x14ac:dyDescent="0.2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 x14ac:dyDescent="0.2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 x14ac:dyDescent="0.2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 x14ac:dyDescent="0.2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 x14ac:dyDescent="0.2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 x14ac:dyDescent="0.2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 x14ac:dyDescent="0.2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 x14ac:dyDescent="0.2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 x14ac:dyDescent="0.2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 x14ac:dyDescent="0.2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 x14ac:dyDescent="0.2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 x14ac:dyDescent="0.2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 x14ac:dyDescent="0.2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 x14ac:dyDescent="0.2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 x14ac:dyDescent="0.2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 x14ac:dyDescent="0.2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 x14ac:dyDescent="0.2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 x14ac:dyDescent="0.2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 x14ac:dyDescent="0.2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 x14ac:dyDescent="0.2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 x14ac:dyDescent="0.2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 x14ac:dyDescent="0.2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 x14ac:dyDescent="0.2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 x14ac:dyDescent="0.2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 x14ac:dyDescent="0.2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 x14ac:dyDescent="0.2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 x14ac:dyDescent="0.2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 x14ac:dyDescent="0.2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 x14ac:dyDescent="0.2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 x14ac:dyDescent="0.2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 x14ac:dyDescent="0.2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 x14ac:dyDescent="0.2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 x14ac:dyDescent="0.2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 x14ac:dyDescent="0.2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 x14ac:dyDescent="0.2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 x14ac:dyDescent="0.2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 x14ac:dyDescent="0.2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 x14ac:dyDescent="0.2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 x14ac:dyDescent="0.2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 x14ac:dyDescent="0.2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 x14ac:dyDescent="0.2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 x14ac:dyDescent="0.2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 x14ac:dyDescent="0.2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 x14ac:dyDescent="0.2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 x14ac:dyDescent="0.25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15.75" customHeight="1" x14ac:dyDescent="0.25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</sheetData>
  <mergeCells count="4">
    <mergeCell ref="B9:B10"/>
    <mergeCell ref="A14:A26"/>
    <mergeCell ref="B14:B19"/>
    <mergeCell ref="C14:C1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3" spans="1:1" x14ac:dyDescent="0.25">
      <c r="A3" s="78" t="s">
        <v>80</v>
      </c>
    </row>
    <row r="5" spans="1:1" x14ac:dyDescent="0.25">
      <c r="A5" s="79" t="s">
        <v>81</v>
      </c>
    </row>
    <row r="19" spans="1:8" x14ac:dyDescent="0.25">
      <c r="H19" s="79" t="s">
        <v>82</v>
      </c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>
      <c r="A25" s="79" t="s">
        <v>83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50"/>
  <sheetViews>
    <sheetView tabSelected="1" zoomScale="70" zoomScaleNormal="70" workbookViewId="0">
      <selection activeCell="C6" sqref="C6:D6"/>
    </sheetView>
  </sheetViews>
  <sheetFormatPr defaultColWidth="0" defaultRowHeight="15" customHeight="1" zeroHeight="1" x14ac:dyDescent="0.25"/>
  <cols>
    <col min="1" max="1" width="20.7109375" style="120" customWidth="1"/>
    <col min="2" max="2" width="58.140625" style="120" customWidth="1"/>
    <col min="3" max="3" width="80.42578125" style="120" customWidth="1"/>
    <col min="4" max="4" width="42.140625" style="120" customWidth="1"/>
    <col min="5" max="5" width="37" style="120" customWidth="1"/>
    <col min="6" max="7" width="42" style="120" customWidth="1"/>
    <col min="8" max="8" width="18.42578125" style="120" customWidth="1"/>
    <col min="9" max="9" width="16.140625" style="120" customWidth="1"/>
    <col min="10" max="10" width="28.28515625" style="120" customWidth="1"/>
    <col min="11" max="11" width="16" style="120" customWidth="1"/>
    <col min="12" max="16383" width="14.42578125" style="120" hidden="1"/>
    <col min="16384" max="16384" width="0.140625" style="120" hidden="1"/>
  </cols>
  <sheetData>
    <row r="1" spans="1:11" ht="18" x14ac:dyDescent="0.25">
      <c r="A1" s="117"/>
      <c r="B1" s="117"/>
      <c r="C1" s="117"/>
      <c r="D1" s="117"/>
      <c r="E1" s="117"/>
      <c r="F1" s="118"/>
      <c r="G1" s="118"/>
      <c r="H1" s="117"/>
      <c r="I1" s="117"/>
      <c r="J1" s="117"/>
      <c r="K1" s="119" t="s">
        <v>84</v>
      </c>
    </row>
    <row r="2" spans="1:11" ht="18" x14ac:dyDescent="0.25">
      <c r="A2" s="121" t="s">
        <v>85</v>
      </c>
      <c r="B2" s="122"/>
      <c r="C2" s="123"/>
      <c r="D2" s="123"/>
      <c r="E2" s="123"/>
      <c r="F2" s="123"/>
      <c r="G2" s="123"/>
      <c r="H2" s="123"/>
      <c r="I2" s="124"/>
      <c r="J2" s="117"/>
      <c r="K2" s="125" t="s">
        <v>86</v>
      </c>
    </row>
    <row r="3" spans="1:11" ht="18" x14ac:dyDescent="0.25">
      <c r="A3" s="126" t="s">
        <v>87</v>
      </c>
      <c r="B3" s="183"/>
      <c r="C3" s="184"/>
      <c r="D3" s="184"/>
      <c r="E3" s="184"/>
      <c r="F3" s="184"/>
      <c r="G3" s="184"/>
      <c r="H3" s="184"/>
      <c r="I3" s="185"/>
      <c r="J3" s="117"/>
      <c r="K3" s="127" t="s">
        <v>88</v>
      </c>
    </row>
    <row r="4" spans="1:11" ht="18" x14ac:dyDescent="0.25">
      <c r="A4" s="126" t="s">
        <v>89</v>
      </c>
      <c r="B4" s="183" t="s">
        <v>90</v>
      </c>
      <c r="C4" s="184"/>
      <c r="D4" s="184"/>
      <c r="E4" s="184"/>
      <c r="F4" s="184"/>
      <c r="G4" s="184"/>
      <c r="H4" s="184"/>
      <c r="I4" s="185"/>
      <c r="J4" s="117"/>
      <c r="K4" s="128" t="s">
        <v>91</v>
      </c>
    </row>
    <row r="5" spans="1:11" ht="18" x14ac:dyDescent="0.25">
      <c r="A5" s="129" t="s">
        <v>84</v>
      </c>
      <c r="B5" s="130" t="s">
        <v>86</v>
      </c>
      <c r="C5" s="186" t="s">
        <v>88</v>
      </c>
      <c r="D5" s="187"/>
      <c r="E5" s="186" t="s">
        <v>91</v>
      </c>
      <c r="F5" s="187"/>
      <c r="G5" s="188" t="s">
        <v>92</v>
      </c>
      <c r="H5" s="184"/>
      <c r="I5" s="185"/>
      <c r="J5" s="128"/>
      <c r="K5" s="131">
        <f ca="1">NOW()</f>
        <v>45827.590142824076</v>
      </c>
    </row>
    <row r="6" spans="1:11" ht="17.25" x14ac:dyDescent="0.25">
      <c r="A6" s="132"/>
      <c r="B6" s="133"/>
      <c r="C6" s="189"/>
      <c r="D6" s="190"/>
      <c r="E6" s="189"/>
      <c r="F6" s="190"/>
      <c r="G6" s="192">
        <f>COUNTA(A11:A42)</f>
        <v>29</v>
      </c>
      <c r="H6" s="193"/>
      <c r="I6" s="194"/>
      <c r="J6" s="117"/>
      <c r="K6" s="117"/>
    </row>
    <row r="7" spans="1:11" ht="99.95" customHeight="1" x14ac:dyDescent="0.25">
      <c r="A7" s="155" t="s">
        <v>136</v>
      </c>
      <c r="B7" s="134" t="s">
        <v>157</v>
      </c>
      <c r="C7" s="135"/>
      <c r="D7" s="136"/>
      <c r="E7" s="137"/>
      <c r="F7" s="138"/>
      <c r="G7" s="138"/>
      <c r="H7" s="137"/>
      <c r="I7" s="139"/>
      <c r="J7" s="140"/>
      <c r="K7" s="141"/>
    </row>
    <row r="8" spans="1:11" ht="36" x14ac:dyDescent="0.25">
      <c r="A8" s="142" t="s">
        <v>93</v>
      </c>
      <c r="B8" s="142" t="s">
        <v>94</v>
      </c>
      <c r="C8" s="142" t="s">
        <v>95</v>
      </c>
      <c r="D8" s="142" t="s">
        <v>96</v>
      </c>
      <c r="E8" s="142" t="s">
        <v>97</v>
      </c>
      <c r="F8" s="142" t="s">
        <v>98</v>
      </c>
      <c r="G8" s="143" t="s">
        <v>99</v>
      </c>
      <c r="H8" s="143" t="s">
        <v>100</v>
      </c>
      <c r="I8" s="143" t="s">
        <v>101</v>
      </c>
      <c r="J8" s="143" t="s">
        <v>102</v>
      </c>
      <c r="K8" s="143" t="s">
        <v>103</v>
      </c>
    </row>
    <row r="9" spans="1:11" ht="18" x14ac:dyDescent="0.25">
      <c r="A9" s="144" t="s">
        <v>104</v>
      </c>
      <c r="B9" s="191" t="s">
        <v>159</v>
      </c>
      <c r="C9" s="184"/>
      <c r="D9" s="184"/>
      <c r="E9" s="184"/>
      <c r="F9" s="184"/>
      <c r="G9" s="184"/>
      <c r="H9" s="184"/>
      <c r="I9" s="184"/>
      <c r="J9" s="184"/>
      <c r="K9" s="187"/>
    </row>
    <row r="10" spans="1:11" ht="18" x14ac:dyDescent="0.25">
      <c r="A10" s="144"/>
      <c r="B10" s="191" t="s">
        <v>160</v>
      </c>
      <c r="C10" s="184"/>
      <c r="D10" s="184"/>
      <c r="E10" s="184"/>
      <c r="F10" s="184"/>
      <c r="G10" s="184"/>
      <c r="H10" s="184"/>
      <c r="I10" s="184"/>
      <c r="J10" s="184"/>
      <c r="K10" s="187"/>
    </row>
    <row r="11" spans="1:11" ht="99.95" customHeight="1" x14ac:dyDescent="0.25">
      <c r="A11" s="145" t="s">
        <v>105</v>
      </c>
      <c r="B11" s="146"/>
      <c r="C11" s="145"/>
      <c r="D11" s="147"/>
      <c r="E11" s="147"/>
      <c r="F11" s="146"/>
      <c r="G11" s="146"/>
      <c r="H11" s="148" t="s">
        <v>158</v>
      </c>
      <c r="I11" s="149" t="s">
        <v>84</v>
      </c>
      <c r="J11" s="150">
        <f ca="1">TODAY()</f>
        <v>45827</v>
      </c>
      <c r="K11" s="147"/>
    </row>
    <row r="12" spans="1:11" ht="99.95" customHeight="1" x14ac:dyDescent="0.25">
      <c r="A12" s="145" t="s">
        <v>106</v>
      </c>
      <c r="B12" s="146"/>
      <c r="C12" s="145"/>
      <c r="D12" s="147"/>
      <c r="E12" s="147"/>
      <c r="F12" s="146"/>
      <c r="G12" s="146"/>
      <c r="H12" s="148" t="s">
        <v>158</v>
      </c>
      <c r="I12" s="149" t="s">
        <v>84</v>
      </c>
      <c r="J12" s="150">
        <f t="shared" ref="J12:J27" ca="1" si="0">TODAY()</f>
        <v>45827</v>
      </c>
      <c r="K12" s="147"/>
    </row>
    <row r="13" spans="1:11" ht="99.95" customHeight="1" x14ac:dyDescent="0.25">
      <c r="A13" s="145" t="s">
        <v>107</v>
      </c>
      <c r="B13" s="146"/>
      <c r="C13" s="145"/>
      <c r="D13" s="147"/>
      <c r="E13" s="147"/>
      <c r="F13" s="146"/>
      <c r="G13" s="146"/>
      <c r="H13" s="148" t="s">
        <v>158</v>
      </c>
      <c r="I13" s="149" t="s">
        <v>84</v>
      </c>
      <c r="J13" s="150">
        <f t="shared" ca="1" si="0"/>
        <v>45827</v>
      </c>
      <c r="K13" s="146"/>
    </row>
    <row r="14" spans="1:11" ht="99.95" customHeight="1" x14ac:dyDescent="0.25">
      <c r="A14" s="145" t="s">
        <v>108</v>
      </c>
      <c r="B14" s="146"/>
      <c r="C14" s="145"/>
      <c r="D14" s="147"/>
      <c r="E14" s="147"/>
      <c r="F14" s="146"/>
      <c r="G14" s="146"/>
      <c r="H14" s="148" t="s">
        <v>158</v>
      </c>
      <c r="I14" s="149" t="s">
        <v>84</v>
      </c>
      <c r="J14" s="150">
        <f t="shared" ca="1" si="0"/>
        <v>45827</v>
      </c>
      <c r="K14" s="146"/>
    </row>
    <row r="15" spans="1:11" ht="18" x14ac:dyDescent="0.25">
      <c r="A15" s="144"/>
      <c r="B15" s="191" t="s">
        <v>162</v>
      </c>
      <c r="C15" s="184"/>
      <c r="D15" s="184"/>
      <c r="E15" s="184"/>
      <c r="F15" s="184"/>
      <c r="G15" s="184"/>
      <c r="H15" s="184"/>
      <c r="I15" s="184"/>
      <c r="J15" s="184"/>
      <c r="K15" s="187"/>
    </row>
    <row r="16" spans="1:11" ht="99.95" customHeight="1" x14ac:dyDescent="0.25">
      <c r="A16" s="145" t="s">
        <v>109</v>
      </c>
      <c r="B16" s="146"/>
      <c r="C16" s="145"/>
      <c r="D16" s="147"/>
      <c r="E16" s="147"/>
      <c r="F16" s="146"/>
      <c r="G16" s="146"/>
      <c r="H16" s="148" t="s">
        <v>158</v>
      </c>
      <c r="I16" s="149" t="s">
        <v>84</v>
      </c>
      <c r="J16" s="150">
        <f t="shared" ca="1" si="0"/>
        <v>45827</v>
      </c>
      <c r="K16" s="146"/>
    </row>
    <row r="17" spans="1:11" ht="99.95" customHeight="1" x14ac:dyDescent="0.25">
      <c r="A17" s="145" t="s">
        <v>110</v>
      </c>
      <c r="B17" s="146"/>
      <c r="C17" s="145"/>
      <c r="D17" s="147"/>
      <c r="E17" s="147"/>
      <c r="F17" s="146"/>
      <c r="G17" s="146"/>
      <c r="H17" s="148" t="s">
        <v>158</v>
      </c>
      <c r="I17" s="149" t="s">
        <v>84</v>
      </c>
      <c r="J17" s="150">
        <f t="shared" ca="1" si="0"/>
        <v>45827</v>
      </c>
      <c r="K17" s="146"/>
    </row>
    <row r="18" spans="1:11" ht="99.95" customHeight="1" x14ac:dyDescent="0.25">
      <c r="A18" s="145" t="s">
        <v>111</v>
      </c>
      <c r="B18" s="146"/>
      <c r="C18" s="145"/>
      <c r="D18" s="147"/>
      <c r="E18" s="147"/>
      <c r="F18" s="146"/>
      <c r="G18" s="146"/>
      <c r="H18" s="148" t="s">
        <v>158</v>
      </c>
      <c r="I18" s="149" t="s">
        <v>84</v>
      </c>
      <c r="J18" s="150">
        <f t="shared" ca="1" si="0"/>
        <v>45827</v>
      </c>
      <c r="K18" s="146"/>
    </row>
    <row r="19" spans="1:11" ht="99.95" customHeight="1" x14ac:dyDescent="0.25">
      <c r="A19" s="145" t="s">
        <v>112</v>
      </c>
      <c r="B19" s="146"/>
      <c r="C19" s="145"/>
      <c r="D19" s="147"/>
      <c r="E19" s="147"/>
      <c r="F19" s="146"/>
      <c r="G19" s="146"/>
      <c r="H19" s="148" t="s">
        <v>158</v>
      </c>
      <c r="I19" s="149" t="s">
        <v>84</v>
      </c>
      <c r="J19" s="150">
        <f t="shared" ca="1" si="0"/>
        <v>45827</v>
      </c>
      <c r="K19" s="146"/>
    </row>
    <row r="20" spans="1:11" ht="99.95" customHeight="1" x14ac:dyDescent="0.25">
      <c r="A20" s="145" t="s">
        <v>113</v>
      </c>
      <c r="B20" s="146"/>
      <c r="C20" s="145"/>
      <c r="D20" s="147"/>
      <c r="E20" s="147"/>
      <c r="F20" s="146"/>
      <c r="G20" s="146"/>
      <c r="H20" s="148" t="s">
        <v>158</v>
      </c>
      <c r="I20" s="149" t="s">
        <v>84</v>
      </c>
      <c r="J20" s="150">
        <f t="shared" ca="1" si="0"/>
        <v>45827</v>
      </c>
      <c r="K20" s="146"/>
    </row>
    <row r="21" spans="1:11" ht="99.95" customHeight="1" x14ac:dyDescent="0.25">
      <c r="A21" s="145" t="s">
        <v>114</v>
      </c>
      <c r="B21" s="146"/>
      <c r="C21" s="145"/>
      <c r="D21" s="147"/>
      <c r="E21" s="147"/>
      <c r="F21" s="146"/>
      <c r="G21" s="146"/>
      <c r="H21" s="148" t="s">
        <v>158</v>
      </c>
      <c r="I21" s="149" t="s">
        <v>84</v>
      </c>
      <c r="J21" s="150">
        <f t="shared" ca="1" si="0"/>
        <v>45827</v>
      </c>
      <c r="K21" s="146"/>
    </row>
    <row r="22" spans="1:11" ht="99.95" customHeight="1" x14ac:dyDescent="0.25">
      <c r="A22" s="145" t="s">
        <v>115</v>
      </c>
      <c r="B22" s="146"/>
      <c r="C22" s="145"/>
      <c r="D22" s="147"/>
      <c r="E22" s="147"/>
      <c r="F22" s="146"/>
      <c r="G22" s="146"/>
      <c r="H22" s="148" t="s">
        <v>158</v>
      </c>
      <c r="I22" s="149" t="s">
        <v>84</v>
      </c>
      <c r="J22" s="150">
        <f t="shared" ca="1" si="0"/>
        <v>45827</v>
      </c>
      <c r="K22" s="146"/>
    </row>
    <row r="23" spans="1:11" ht="99.95" customHeight="1" x14ac:dyDescent="0.25">
      <c r="A23" s="145" t="s">
        <v>116</v>
      </c>
      <c r="B23" s="146"/>
      <c r="C23" s="145"/>
      <c r="D23" s="147"/>
      <c r="E23" s="147"/>
      <c r="F23" s="146"/>
      <c r="G23" s="146"/>
      <c r="H23" s="148" t="s">
        <v>158</v>
      </c>
      <c r="I23" s="149" t="s">
        <v>84</v>
      </c>
      <c r="J23" s="150">
        <f t="shared" ca="1" si="0"/>
        <v>45827</v>
      </c>
      <c r="K23" s="146"/>
    </row>
    <row r="24" spans="1:11" ht="99.95" customHeight="1" x14ac:dyDescent="0.25">
      <c r="A24" s="145" t="s">
        <v>117</v>
      </c>
      <c r="B24" s="146"/>
      <c r="C24" s="145"/>
      <c r="D24" s="147"/>
      <c r="E24" s="147"/>
      <c r="F24" s="146"/>
      <c r="G24" s="146"/>
      <c r="H24" s="148" t="s">
        <v>158</v>
      </c>
      <c r="I24" s="149" t="s">
        <v>84</v>
      </c>
      <c r="J24" s="150">
        <f t="shared" ca="1" si="0"/>
        <v>45827</v>
      </c>
      <c r="K24" s="146"/>
    </row>
    <row r="25" spans="1:11" ht="99.95" customHeight="1" x14ac:dyDescent="0.25">
      <c r="A25" s="145" t="s">
        <v>118</v>
      </c>
      <c r="B25" s="146"/>
      <c r="C25" s="145"/>
      <c r="D25" s="147"/>
      <c r="E25" s="147"/>
      <c r="F25" s="146"/>
      <c r="G25" s="146"/>
      <c r="H25" s="148" t="s">
        <v>158</v>
      </c>
      <c r="I25" s="149" t="s">
        <v>84</v>
      </c>
      <c r="J25" s="150">
        <f t="shared" ca="1" si="0"/>
        <v>45827</v>
      </c>
      <c r="K25" s="146"/>
    </row>
    <row r="26" spans="1:11" ht="99.95" customHeight="1" x14ac:dyDescent="0.25">
      <c r="A26" s="145" t="s">
        <v>119</v>
      </c>
      <c r="B26" s="146"/>
      <c r="C26" s="145"/>
      <c r="D26" s="147"/>
      <c r="E26" s="147"/>
      <c r="F26" s="146"/>
      <c r="G26" s="146"/>
      <c r="H26" s="148" t="s">
        <v>158</v>
      </c>
      <c r="I26" s="149" t="s">
        <v>84</v>
      </c>
      <c r="J26" s="150">
        <f t="shared" ca="1" si="0"/>
        <v>45827</v>
      </c>
      <c r="K26" s="146"/>
    </row>
    <row r="27" spans="1:11" ht="99.95" customHeight="1" x14ac:dyDescent="0.25">
      <c r="A27" s="145" t="s">
        <v>120</v>
      </c>
      <c r="B27" s="146"/>
      <c r="C27" s="145"/>
      <c r="D27" s="147"/>
      <c r="E27" s="147"/>
      <c r="F27" s="146"/>
      <c r="G27" s="146"/>
      <c r="H27" s="148" t="s">
        <v>158</v>
      </c>
      <c r="I27" s="149" t="s">
        <v>84</v>
      </c>
      <c r="J27" s="150">
        <f t="shared" ca="1" si="0"/>
        <v>45827</v>
      </c>
      <c r="K27" s="146"/>
    </row>
    <row r="28" spans="1:11" ht="18" x14ac:dyDescent="0.25">
      <c r="A28" s="144" t="s">
        <v>121</v>
      </c>
      <c r="B28" s="191" t="s">
        <v>122</v>
      </c>
      <c r="C28" s="184"/>
      <c r="D28" s="184"/>
      <c r="E28" s="184"/>
      <c r="F28" s="184"/>
      <c r="G28" s="184"/>
      <c r="H28" s="184"/>
      <c r="I28" s="184"/>
      <c r="J28" s="184"/>
      <c r="K28" s="187"/>
    </row>
    <row r="29" spans="1:11" ht="18" x14ac:dyDescent="0.25">
      <c r="A29" s="144"/>
      <c r="B29" s="156" t="s">
        <v>161</v>
      </c>
      <c r="C29" s="157"/>
      <c r="D29" s="157"/>
      <c r="E29" s="157"/>
      <c r="F29" s="157"/>
      <c r="G29" s="157"/>
      <c r="H29" s="157"/>
      <c r="I29" s="157"/>
      <c r="J29" s="157"/>
      <c r="K29" s="158"/>
    </row>
    <row r="30" spans="1:11" ht="99.95" customHeight="1" x14ac:dyDescent="0.25">
      <c r="A30" s="145" t="s">
        <v>123</v>
      </c>
      <c r="B30" s="146"/>
      <c r="C30" s="145"/>
      <c r="D30" s="147"/>
      <c r="E30" s="147"/>
      <c r="F30" s="146"/>
      <c r="G30" s="146"/>
      <c r="H30" s="148" t="s">
        <v>158</v>
      </c>
      <c r="I30" s="149" t="s">
        <v>84</v>
      </c>
      <c r="J30" s="150">
        <f t="shared" ref="J30:J34" ca="1" si="1">TODAY()</f>
        <v>45827</v>
      </c>
      <c r="K30" s="151"/>
    </row>
    <row r="31" spans="1:11" ht="99.95" customHeight="1" x14ac:dyDescent="0.25">
      <c r="A31" s="145" t="s">
        <v>124</v>
      </c>
      <c r="B31" s="146"/>
      <c r="C31" s="145"/>
      <c r="D31" s="147"/>
      <c r="E31" s="147"/>
      <c r="F31" s="146"/>
      <c r="G31" s="146"/>
      <c r="H31" s="148" t="s">
        <v>158</v>
      </c>
      <c r="I31" s="149" t="s">
        <v>84</v>
      </c>
      <c r="J31" s="150">
        <f t="shared" ca="1" si="1"/>
        <v>45827</v>
      </c>
      <c r="K31" s="147"/>
    </row>
    <row r="32" spans="1:11" ht="99.95" customHeight="1" x14ac:dyDescent="0.25">
      <c r="A32" s="145" t="s">
        <v>125</v>
      </c>
      <c r="B32" s="146"/>
      <c r="C32" s="145"/>
      <c r="D32" s="147"/>
      <c r="E32" s="147"/>
      <c r="F32" s="146"/>
      <c r="G32" s="146"/>
      <c r="H32" s="148" t="s">
        <v>158</v>
      </c>
      <c r="I32" s="149" t="s">
        <v>84</v>
      </c>
      <c r="J32" s="150">
        <f t="shared" ca="1" si="1"/>
        <v>45827</v>
      </c>
      <c r="K32" s="147"/>
    </row>
    <row r="33" spans="1:11" ht="99.95" customHeight="1" x14ac:dyDescent="0.25">
      <c r="A33" s="145" t="s">
        <v>126</v>
      </c>
      <c r="B33" s="146"/>
      <c r="C33" s="145"/>
      <c r="D33" s="147"/>
      <c r="E33" s="147"/>
      <c r="F33" s="146"/>
      <c r="G33" s="146"/>
      <c r="H33" s="148" t="s">
        <v>158</v>
      </c>
      <c r="I33" s="149" t="s">
        <v>84</v>
      </c>
      <c r="J33" s="150">
        <f t="shared" ca="1" si="1"/>
        <v>45827</v>
      </c>
      <c r="K33" s="147"/>
    </row>
    <row r="34" spans="1:11" ht="99.95" customHeight="1" x14ac:dyDescent="0.25">
      <c r="A34" s="145" t="s">
        <v>127</v>
      </c>
      <c r="B34" s="146"/>
      <c r="C34" s="145"/>
      <c r="D34" s="147"/>
      <c r="E34" s="147"/>
      <c r="F34" s="146"/>
      <c r="G34" s="146"/>
      <c r="H34" s="148" t="s">
        <v>158</v>
      </c>
      <c r="I34" s="149" t="s">
        <v>84</v>
      </c>
      <c r="J34" s="150">
        <f t="shared" ca="1" si="1"/>
        <v>45827</v>
      </c>
      <c r="K34" s="147"/>
    </row>
    <row r="35" spans="1:11" ht="18" x14ac:dyDescent="0.25">
      <c r="A35" s="144" t="s">
        <v>128</v>
      </c>
      <c r="B35" s="191" t="s">
        <v>129</v>
      </c>
      <c r="C35" s="184"/>
      <c r="D35" s="184"/>
      <c r="E35" s="184"/>
      <c r="F35" s="184"/>
      <c r="G35" s="184"/>
      <c r="H35" s="184"/>
      <c r="I35" s="184"/>
      <c r="J35" s="184"/>
      <c r="K35" s="187"/>
    </row>
    <row r="36" spans="1:11" ht="99.95" customHeight="1" x14ac:dyDescent="0.25">
      <c r="A36" s="145" t="s">
        <v>130</v>
      </c>
      <c r="B36" s="145"/>
      <c r="C36" s="145"/>
      <c r="D36" s="147"/>
      <c r="E36" s="147"/>
      <c r="F36" s="146"/>
      <c r="G36" s="146"/>
      <c r="H36" s="148"/>
      <c r="I36" s="149"/>
      <c r="J36" s="147"/>
      <c r="K36" s="147"/>
    </row>
    <row r="37" spans="1:11" ht="99.95" customHeight="1" x14ac:dyDescent="0.25">
      <c r="A37" s="145" t="s">
        <v>131</v>
      </c>
      <c r="B37" s="145"/>
      <c r="C37" s="145"/>
      <c r="D37" s="147"/>
      <c r="E37" s="147"/>
      <c r="F37" s="146"/>
      <c r="G37" s="146"/>
      <c r="H37" s="148"/>
      <c r="I37" s="149"/>
      <c r="J37" s="147"/>
      <c r="K37" s="147"/>
    </row>
    <row r="38" spans="1:11" ht="99.95" customHeight="1" x14ac:dyDescent="0.25">
      <c r="A38" s="145" t="s">
        <v>132</v>
      </c>
      <c r="B38" s="145"/>
      <c r="C38" s="145"/>
      <c r="D38" s="147"/>
      <c r="E38" s="147"/>
      <c r="F38" s="146"/>
      <c r="G38" s="146"/>
      <c r="H38" s="148"/>
      <c r="I38" s="149"/>
      <c r="J38" s="147"/>
      <c r="K38" s="147"/>
    </row>
    <row r="39" spans="1:11" ht="99.95" customHeight="1" x14ac:dyDescent="0.25">
      <c r="A39" s="145" t="s">
        <v>133</v>
      </c>
      <c r="B39" s="145"/>
      <c r="C39" s="145"/>
      <c r="D39" s="147"/>
      <c r="E39" s="147"/>
      <c r="F39" s="146"/>
      <c r="G39" s="146"/>
      <c r="H39" s="148"/>
      <c r="I39" s="149"/>
      <c r="J39" s="147"/>
      <c r="K39" s="147"/>
    </row>
    <row r="40" spans="1:11" ht="99.95" customHeight="1" x14ac:dyDescent="0.25">
      <c r="A40" s="145" t="s">
        <v>134</v>
      </c>
      <c r="B40" s="145"/>
      <c r="C40" s="145"/>
      <c r="D40" s="147"/>
      <c r="E40" s="147"/>
      <c r="F40" s="146"/>
      <c r="G40" s="146"/>
      <c r="H40" s="148"/>
      <c r="I40" s="152"/>
      <c r="J40" s="147"/>
      <c r="K40" s="147"/>
    </row>
    <row r="41" spans="1:11" ht="18" x14ac:dyDescent="0.25">
      <c r="A41" s="144" t="s">
        <v>135</v>
      </c>
      <c r="B41" s="191" t="s">
        <v>163</v>
      </c>
      <c r="C41" s="184"/>
      <c r="D41" s="184"/>
      <c r="E41" s="184"/>
      <c r="F41" s="184"/>
      <c r="G41" s="184"/>
      <c r="H41" s="184"/>
      <c r="I41" s="184"/>
      <c r="J41" s="184"/>
      <c r="K41" s="187"/>
    </row>
    <row r="42" spans="1:11" ht="99.95" customHeight="1" x14ac:dyDescent="0.25">
      <c r="A42" s="153"/>
      <c r="B42" s="154"/>
      <c r="C42" s="154"/>
      <c r="D42" s="147"/>
      <c r="E42" s="147"/>
      <c r="F42" s="146"/>
      <c r="G42" s="146"/>
      <c r="H42" s="148"/>
      <c r="I42" s="149"/>
      <c r="J42" s="147"/>
      <c r="K42" s="147"/>
    </row>
    <row r="43" spans="1:11" ht="18" hidden="1" x14ac:dyDescent="0.25">
      <c r="A43" s="144"/>
      <c r="B43" s="198" t="s">
        <v>136</v>
      </c>
      <c r="C43" s="199"/>
      <c r="D43" s="199"/>
      <c r="E43" s="199"/>
      <c r="F43" s="199"/>
      <c r="G43" s="199"/>
      <c r="H43" s="199"/>
      <c r="I43" s="199"/>
      <c r="J43" s="199"/>
      <c r="K43" s="200"/>
    </row>
    <row r="44" spans="1:11" ht="17.25" x14ac:dyDescent="0.25">
      <c r="A44" s="140"/>
      <c r="B44" s="146"/>
      <c r="C44" s="140"/>
      <c r="D44" s="147"/>
      <c r="E44" s="147"/>
      <c r="F44" s="146"/>
      <c r="G44" s="146"/>
      <c r="H44" s="148"/>
      <c r="I44" s="147"/>
      <c r="J44" s="147"/>
      <c r="K44" s="147"/>
    </row>
    <row r="45" spans="1:11" ht="17.25" x14ac:dyDescent="0.25">
      <c r="A45" s="145"/>
      <c r="B45" s="154"/>
      <c r="C45" s="146"/>
      <c r="D45" s="147"/>
      <c r="E45" s="147"/>
      <c r="F45" s="146"/>
      <c r="G45" s="146"/>
      <c r="H45" s="148"/>
      <c r="I45" s="147"/>
      <c r="J45" s="147"/>
      <c r="K45" s="147"/>
    </row>
    <row r="46" spans="1:11" ht="17.25" x14ac:dyDescent="0.25">
      <c r="A46" s="145"/>
      <c r="B46" s="154"/>
      <c r="C46" s="146"/>
      <c r="D46" s="147"/>
      <c r="E46" s="147"/>
      <c r="F46" s="146"/>
      <c r="G46" s="146"/>
      <c r="H46" s="148"/>
      <c r="I46" s="147"/>
      <c r="J46" s="147"/>
      <c r="K46" s="147"/>
    </row>
    <row r="47" spans="1:11" ht="17.25" x14ac:dyDescent="0.25">
      <c r="A47" s="145"/>
      <c r="B47" s="154"/>
      <c r="C47" s="146"/>
      <c r="D47" s="147"/>
      <c r="E47" s="147"/>
      <c r="F47" s="146"/>
      <c r="G47" s="146"/>
      <c r="H47" s="148"/>
      <c r="I47" s="147"/>
      <c r="J47" s="147"/>
      <c r="K47" s="147"/>
    </row>
    <row r="48" spans="1:11" ht="17.25" x14ac:dyDescent="0.25">
      <c r="A48" s="145"/>
      <c r="B48" s="154"/>
      <c r="C48" s="146"/>
      <c r="D48" s="147"/>
      <c r="E48" s="147"/>
      <c r="F48" s="146"/>
      <c r="G48" s="146"/>
      <c r="H48" s="148"/>
      <c r="I48" s="147"/>
      <c r="J48" s="147"/>
      <c r="K48" s="147"/>
    </row>
    <row r="49" spans="1:11" ht="17.25" x14ac:dyDescent="0.25">
      <c r="A49" s="145"/>
      <c r="B49" s="154"/>
      <c r="C49" s="146"/>
      <c r="D49" s="147"/>
      <c r="E49" s="147"/>
      <c r="F49" s="146"/>
      <c r="G49" s="146"/>
      <c r="H49" s="148"/>
      <c r="I49" s="147"/>
      <c r="J49" s="147"/>
      <c r="K49" s="147"/>
    </row>
    <row r="50" spans="1:11" ht="17.25" x14ac:dyDescent="0.25">
      <c r="A50" s="145"/>
      <c r="B50" s="154"/>
      <c r="C50" s="146"/>
      <c r="D50" s="147"/>
      <c r="E50" s="147"/>
      <c r="F50" s="146"/>
      <c r="G50" s="146"/>
      <c r="H50" s="148"/>
      <c r="I50" s="147"/>
      <c r="J50" s="147"/>
      <c r="K50" s="147"/>
    </row>
  </sheetData>
  <mergeCells count="15">
    <mergeCell ref="B43:K43"/>
    <mergeCell ref="C6:D6"/>
    <mergeCell ref="E6:F6"/>
    <mergeCell ref="B41:K41"/>
    <mergeCell ref="G6:I6"/>
    <mergeCell ref="B10:K10"/>
    <mergeCell ref="B28:K28"/>
    <mergeCell ref="B35:K35"/>
    <mergeCell ref="B9:K9"/>
    <mergeCell ref="B15:K15"/>
    <mergeCell ref="B3:I3"/>
    <mergeCell ref="B4:I4"/>
    <mergeCell ref="C5:D5"/>
    <mergeCell ref="E5:F5"/>
    <mergeCell ref="G5:I5"/>
  </mergeCells>
  <dataValidations disablePrompts="1" count="1">
    <dataValidation type="list" allowBlank="1" showErrorMessage="1" sqref="I30:I34 I36:I40 I11:I14 I16:I27 I42:I50" xr:uid="{00000000-0002-0000-0400-000000000000}">
      <formula1>"Pass,Fail"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7" width="10.28515625" customWidth="1"/>
    <col min="8" max="8" width="46.5703125" customWidth="1"/>
    <col min="9" max="9" width="37.85546875" customWidth="1"/>
    <col min="10" max="26" width="10.28515625" customWidth="1"/>
  </cols>
  <sheetData>
    <row r="1" spans="1:26" ht="12.75" customHeight="1" x14ac:dyDescent="0.35">
      <c r="A1" s="8"/>
      <c r="B1" s="196" t="s">
        <v>137</v>
      </c>
      <c r="C1" s="197"/>
      <c r="D1" s="197"/>
      <c r="E1" s="197"/>
      <c r="F1" s="197"/>
      <c r="G1" s="197"/>
      <c r="H1" s="19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0"/>
      <c r="B2" s="80"/>
      <c r="C2" s="8"/>
      <c r="D2" s="8"/>
      <c r="E2" s="8"/>
      <c r="F2" s="8"/>
      <c r="G2" s="8"/>
      <c r="H2" s="8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2" t="s">
        <v>2</v>
      </c>
      <c r="C3" s="175" t="s">
        <v>138</v>
      </c>
      <c r="D3" s="161"/>
      <c r="E3" s="195" t="s">
        <v>4</v>
      </c>
      <c r="F3" s="161"/>
      <c r="G3" s="83"/>
      <c r="H3" s="10" t="s">
        <v>139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2" t="s">
        <v>6</v>
      </c>
      <c r="C4" s="175" t="s">
        <v>140</v>
      </c>
      <c r="D4" s="161"/>
      <c r="E4" s="195" t="s">
        <v>8</v>
      </c>
      <c r="F4" s="161"/>
      <c r="G4" s="83"/>
      <c r="H4" s="8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8"/>
      <c r="B5" s="85" t="s">
        <v>10</v>
      </c>
      <c r="C5" s="175" t="str">
        <f>C4&amp;"_"&amp;"Test Report"&amp;"_"&amp;"vx.x"</f>
        <v>KH_HUE_T07_Test Report_vx.x</v>
      </c>
      <c r="D5" s="161"/>
      <c r="E5" s="195" t="s">
        <v>12</v>
      </c>
      <c r="F5" s="161"/>
      <c r="G5" s="83"/>
      <c r="H5" s="86">
        <v>42666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80"/>
      <c r="B6" s="85" t="s">
        <v>141</v>
      </c>
      <c r="C6" s="177" t="s">
        <v>142</v>
      </c>
      <c r="D6" s="160"/>
      <c r="E6" s="160"/>
      <c r="F6" s="160"/>
      <c r="G6" s="160"/>
      <c r="H6" s="16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80"/>
      <c r="B7" s="13"/>
      <c r="C7" s="87"/>
      <c r="D7" s="8"/>
      <c r="E7" s="8"/>
      <c r="F7" s="8"/>
      <c r="G7" s="8"/>
      <c r="H7" s="8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3"/>
      <c r="C8" s="87"/>
      <c r="D8" s="8"/>
      <c r="E8" s="8"/>
      <c r="F8" s="8"/>
      <c r="G8" s="8"/>
      <c r="H8" s="8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8"/>
      <c r="B10" s="89" t="s">
        <v>143</v>
      </c>
      <c r="C10" s="90" t="s">
        <v>144</v>
      </c>
      <c r="D10" s="91" t="s">
        <v>84</v>
      </c>
      <c r="E10" s="90" t="s">
        <v>86</v>
      </c>
      <c r="F10" s="90" t="s">
        <v>88</v>
      </c>
      <c r="G10" s="92" t="s">
        <v>91</v>
      </c>
      <c r="H10" s="93" t="s">
        <v>145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4"/>
      <c r="B11" s="95">
        <v>1</v>
      </c>
      <c r="C11" s="96">
        <f>'1. Tên Chức Năng Test'!B2</f>
        <v>0</v>
      </c>
      <c r="D11" s="97">
        <f>'1. Tên Chức Năng Test'!A6</f>
        <v>0</v>
      </c>
      <c r="E11" s="97">
        <f>'1. Tên Chức Năng Test'!B6</f>
        <v>0</v>
      </c>
      <c r="F11" s="97">
        <f>'1. Tên Chức Năng Test'!C6</f>
        <v>0</v>
      </c>
      <c r="G11" s="97">
        <f>'1. Tên Chức Năng Test'!E6</f>
        <v>0</v>
      </c>
      <c r="H11" s="98">
        <f>'1. Tên Chức Năng Test'!G6</f>
        <v>29</v>
      </c>
      <c r="I11" s="99" t="s">
        <v>146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4"/>
      <c r="B12" s="100">
        <v>2</v>
      </c>
      <c r="C12" s="101" t="str">
        <f t="shared" ref="C12:C17" si="0">I12&amp;"'!B2"</f>
        <v>2.organisation'!B2</v>
      </c>
      <c r="D12" s="102">
        <v>2</v>
      </c>
      <c r="E12" s="102">
        <v>1</v>
      </c>
      <c r="F12" s="102">
        <v>0</v>
      </c>
      <c r="G12" s="102">
        <v>0</v>
      </c>
      <c r="H12" s="103">
        <v>3</v>
      </c>
      <c r="I12" s="99" t="s">
        <v>147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4"/>
      <c r="B13" s="100">
        <v>3</v>
      </c>
      <c r="C13" s="101" t="str">
        <f t="shared" si="0"/>
        <v>3.service'!B2</v>
      </c>
      <c r="D13" s="102"/>
      <c r="E13" s="102"/>
      <c r="F13" s="102"/>
      <c r="G13" s="102"/>
      <c r="H13" s="103"/>
      <c r="I13" s="99" t="s">
        <v>148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4"/>
      <c r="B14" s="100">
        <v>4</v>
      </c>
      <c r="C14" s="101" t="str">
        <f t="shared" si="0"/>
        <v>4.programe'!B2</v>
      </c>
      <c r="D14" s="102"/>
      <c r="E14" s="102"/>
      <c r="F14" s="102"/>
      <c r="G14" s="102"/>
      <c r="H14" s="103"/>
      <c r="I14" s="99" t="s">
        <v>149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94"/>
      <c r="B15" s="100">
        <v>5</v>
      </c>
      <c r="C15" s="101" t="str">
        <f t="shared" si="0"/>
        <v>5. premise'!B2</v>
      </c>
      <c r="D15" s="102"/>
      <c r="E15" s="102"/>
      <c r="F15" s="102"/>
      <c r="G15" s="102"/>
      <c r="H15" s="103"/>
      <c r="I15" s="99" t="s">
        <v>150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94"/>
      <c r="B16" s="100">
        <v>6</v>
      </c>
      <c r="C16" s="101" t="str">
        <f t="shared" si="0"/>
        <v>6.Geography'!B2</v>
      </c>
      <c r="D16" s="102"/>
      <c r="E16" s="102"/>
      <c r="F16" s="102"/>
      <c r="G16" s="102"/>
      <c r="H16" s="103"/>
      <c r="I16" s="99" t="s">
        <v>151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94"/>
      <c r="B17" s="100">
        <v>7</v>
      </c>
      <c r="C17" s="101" t="str">
        <f t="shared" si="0"/>
        <v>7.Search'!B2</v>
      </c>
      <c r="D17" s="102"/>
      <c r="E17" s="102"/>
      <c r="F17" s="102"/>
      <c r="G17" s="102"/>
      <c r="H17" s="103"/>
      <c r="I17" s="99" t="s">
        <v>152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94"/>
      <c r="B18" s="100">
        <v>8</v>
      </c>
      <c r="C18" s="101"/>
      <c r="D18" s="102"/>
      <c r="E18" s="102"/>
      <c r="F18" s="102"/>
      <c r="G18" s="102"/>
      <c r="H18" s="103"/>
      <c r="I18" s="9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94"/>
      <c r="B19" s="104">
        <v>9</v>
      </c>
      <c r="C19" s="105"/>
      <c r="D19" s="106"/>
      <c r="E19" s="106"/>
      <c r="F19" s="106"/>
      <c r="G19" s="106"/>
      <c r="H19" s="107"/>
      <c r="I19" s="9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8"/>
      <c r="B20" s="108"/>
      <c r="C20" s="109" t="s">
        <v>153</v>
      </c>
      <c r="D20" s="110">
        <f t="shared" ref="D20:H20" si="1">SUM(D9:D19)</f>
        <v>2</v>
      </c>
      <c r="E20" s="110">
        <f t="shared" si="1"/>
        <v>1</v>
      </c>
      <c r="F20" s="110">
        <f t="shared" si="1"/>
        <v>0</v>
      </c>
      <c r="G20" s="110">
        <f t="shared" si="1"/>
        <v>0</v>
      </c>
      <c r="H20" s="111">
        <f t="shared" si="1"/>
        <v>32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12"/>
      <c r="C21" s="8"/>
      <c r="D21" s="113"/>
      <c r="E21" s="114"/>
      <c r="F21" s="114"/>
      <c r="G21" s="114"/>
      <c r="H21" s="1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6" t="s">
        <v>154</v>
      </c>
      <c r="D22" s="8"/>
      <c r="E22" s="115">
        <f>(D20+E20)*100/(H20-G20)</f>
        <v>9.375</v>
      </c>
      <c r="F22" s="8" t="s">
        <v>155</v>
      </c>
      <c r="G22" s="8"/>
      <c r="H22" s="11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6" t="s">
        <v>156</v>
      </c>
      <c r="D23" s="8"/>
      <c r="E23" s="115">
        <f>D20*100/(H20-G20)</f>
        <v>6.25</v>
      </c>
      <c r="F23" s="8" t="s">
        <v>155</v>
      </c>
      <c r="G23" s="8"/>
      <c r="H23" s="11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(Tổng quan)</vt:lpstr>
      <vt:lpstr>Test case List (DS Test Case)</vt:lpstr>
      <vt:lpstr>FUNCTION</vt:lpstr>
      <vt:lpstr>PROTOTYPE</vt:lpstr>
      <vt:lpstr>1. Tên Chức Năng Test</vt:lpstr>
      <vt:lpstr>2. Tên Chức Năng Test</vt:lpstr>
      <vt:lpstr>,,,,,</vt:lpstr>
      <vt:lpstr>Non Function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Anh Dung</dc:creator>
  <cp:lastModifiedBy>Long Hoang</cp:lastModifiedBy>
  <dcterms:created xsi:type="dcterms:W3CDTF">2015-06-05T18:17:20Z</dcterms:created>
  <dcterms:modified xsi:type="dcterms:W3CDTF">2025-06-19T07:10:09Z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2025-06-13T05:46:28Z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cbf82bc8-a0e6-475e-884b-d4913f558e78</vt:lpwstr>
  </property>
  <property fmtid="{D5CDD505-2E9C-101B-9397-08002B2CF9AE}" pid="7" name="MSIP_Label_defa4170-0d19-0005-0004-bc88714345d2_ActionId">
    <vt:lpwstr>67ab5d35-5356-4b90-8b5c-db0b31b2bd56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