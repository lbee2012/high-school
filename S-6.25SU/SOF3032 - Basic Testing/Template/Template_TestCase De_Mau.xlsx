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KiemThuCoban\"/>
    </mc:Choice>
  </mc:AlternateContent>
  <bookViews>
    <workbookView xWindow="0" yWindow="0" windowWidth="23016" windowHeight="9048" tabRatio="821" activeTab="1"/>
  </bookViews>
  <sheets>
    <sheet name="Cover" sheetId="97" r:id="rId1"/>
    <sheet name="Export all carrier choices" sheetId="122" r:id="rId2"/>
    <sheet name="Test Report" sheetId="107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62913"/>
</workbook>
</file>

<file path=xl/calcChain.xml><?xml version="1.0" encoding="utf-8"?>
<calcChain xmlns="http://schemas.openxmlformats.org/spreadsheetml/2006/main">
  <c r="F7" i="122" l="1"/>
  <c r="G8" i="107" s="1"/>
  <c r="G10" i="107" s="1"/>
  <c r="C6" i="122"/>
  <c r="D8" i="107" s="1"/>
  <c r="D10" i="107" s="1"/>
  <c r="C7" i="122"/>
  <c r="E8" i="107" s="1"/>
  <c r="E10" i="107" s="1"/>
  <c r="F6" i="122"/>
  <c r="F8" i="107" s="1"/>
  <c r="F10" i="107" s="1"/>
  <c r="C8" i="107"/>
  <c r="E13" i="107" l="1"/>
  <c r="E12" i="107"/>
</calcChain>
</file>

<file path=xl/sharedStrings.xml><?xml version="1.0" encoding="utf-8"?>
<sst xmlns="http://schemas.openxmlformats.org/spreadsheetml/2006/main" count="135" uniqueCount="91">
  <si>
    <t>31/07/2007</t>
  </si>
  <si>
    <t>Fail</t>
  </si>
  <si>
    <t>Date</t>
    <phoneticPr fontId="13"/>
  </si>
  <si>
    <t>TEST CASE</t>
  </si>
  <si>
    <t>Result</t>
  </si>
  <si>
    <t>Change location</t>
  </si>
  <si>
    <t>Change description</t>
  </si>
  <si>
    <t>Note:</t>
  </si>
  <si>
    <t>TEST REPORT</t>
  </si>
  <si>
    <t>Effective Date</t>
  </si>
  <si>
    <t>First creation</t>
  </si>
  <si>
    <t>Reviewer/
Approver</t>
  </si>
  <si>
    <t>Originator</t>
  </si>
  <si>
    <t>Issue date: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</si>
  <si>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</si>
  <si>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</si>
  <si>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</si>
  <si>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</si>
  <si>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</si>
  <si>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</si>
  <si>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</si>
  <si>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</si>
  <si>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</si>
  <si>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</si>
  <si>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Number of test cases:</t>
  </si>
  <si>
    <t>Test requirement: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</si>
  <si>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</si>
  <si>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</si>
  <si>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</si>
  <si>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</si>
  <si>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</si>
  <si>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</si>
  <si>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</si>
  <si>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</si>
  <si>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</si>
  <si>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CR236 "Export all carrier choices"</t>
  </si>
  <si>
    <t>1.1</t>
  </si>
  <si>
    <t>Update testcase</t>
  </si>
  <si>
    <t>1.2</t>
  </si>
  <si>
    <t>Sameple project</t>
  </si>
  <si>
    <t>UTEHY-SE01</t>
  </si>
  <si>
    <t>Test Leader 01</t>
  </si>
  <si>
    <t>John Doe</t>
  </si>
  <si>
    <t>Jane Doe</t>
  </si>
  <si>
    <t>pass</t>
  </si>
  <si>
    <t>ID(Mã CN)</t>
  </si>
  <si>
    <t>Test Title
(Tiêu đề Test)</t>
  </si>
  <si>
    <t>Test Case Description
(Mô tả trường hợp)</t>
  </si>
  <si>
    <t>Test date (Dữ liệu)</t>
  </si>
  <si>
    <t>Expected Output
 (Kết quả mong muốn)</t>
  </si>
  <si>
    <t>Test Case Procedure 
(Thủ tục thực hiện)</t>
  </si>
  <si>
    <t xml:space="preserve"> Actual Result
(Kết quả thực tế)</t>
  </si>
  <si>
    <t>Inter - test case Dependence
()</t>
  </si>
  <si>
    <t>tc1</t>
  </si>
  <si>
    <t>Thêm mới thành công với các trường dữ liệu hợp lệ</t>
  </si>
  <si>
    <t>Thông báo thêm mới thanh cong
và lưu vào CSDL</t>
  </si>
  <si>
    <t>Quản lý</t>
  </si>
  <si>
    <t>B1: Đăng nhâp với quyên admin
B2: Vào form quản ly Sinh viên
B3: Điền thông tin  hợp lệ
B4: Nhân Save</t>
  </si>
  <si>
    <t>Thêm mới thành công sinh viên</t>
  </si>
  <si>
    <t xml:space="preserve">MSV: 123
Ho Tên:  Nguyên Thị Huyen
email: H@gmail.com
So DT: 0912974975
Gioi Tinh: Nữ
Dia Chi: Hà Nội
Anh: url
</t>
  </si>
  <si>
    <t>Thông báo thêm mới thanh cong</t>
  </si>
  <si>
    <t>tc2</t>
  </si>
  <si>
    <t>tc3</t>
  </si>
  <si>
    <t>Kiểm Thử bảng quyết đinh</t>
  </si>
  <si>
    <t>Kiểm Thử Vùng biên viết 10 test case</t>
  </si>
  <si>
    <t>Kiểm Thử Vùng Tương đương 10 test case</t>
  </si>
  <si>
    <t xml:space="preserve">MSV: 13
Ho Tên:  Nguyên Thị Huyen
email: H@gmail.com
So DT: 0912974975
Gioi Tinh: Nữ
Dia Chi: Hà Nội
Anh: url
</t>
  </si>
  <si>
    <t>Thêm mới thành  không công sinh viên</t>
  </si>
  <si>
    <t>Thêm mới không thành công với mã sinh viên để trống</t>
  </si>
  <si>
    <t>B1: Đăng nhâp với quyên admin
B2: Vào form quản ly Sinh viên
B3: Điền thông tin  
B4: Nhân Save</t>
  </si>
  <si>
    <t xml:space="preserve">MSV: 
Ho Tên:  Nguyên Thị Huyen
email: H@gmail.com
So DT: 0912974975
Gioi Tinh: Nữ
Dia Chi: Hà Nội
Anh: url
</t>
  </si>
  <si>
    <t>Thông báo thêm mới không thanh cong
và không lưu vào CSDL</t>
  </si>
  <si>
    <t>thông báo nhập mã</t>
  </si>
  <si>
    <t>Thêm mới không thành công với mã sinh viên 53 ký thự</t>
  </si>
  <si>
    <t xml:space="preserve">MSV: 1111(53 ký tự)
Ho Tên:  Nguyên Thị Huyen
email: H@gmail.com
So DT: 0912974975
Gioi Tinh: Nữ
Dia Chi: Hà Nội
Anh: url
</t>
  </si>
  <si>
    <t>thêm mới không thành công</t>
  </si>
  <si>
    <t>tc4</t>
  </si>
  <si>
    <t>Thêm mới không thành công với sđt  9 số</t>
  </si>
  <si>
    <t xml:space="preserve">MSV: 1111
Ho Tên:  Nguyên Thị Huyen
email: H@gmail.com
So DT: 091297497
Gioi Tinh: Nữ
Dia Chi: Hà Nội
Anh: url
</t>
  </si>
  <si>
    <t>Thông báo sdt phai 10 số
và không lưu vào CSDL</t>
  </si>
  <si>
    <t xml:space="preserve">MSV: 1
Ho Tên:  N
email: H@gmail.com
So DT: 0912974975
Gioi Tinh: Nữ
Dia Chi: Hà Nội
Anh: url
</t>
  </si>
  <si>
    <t>Thêm mới không thành công sinh viên</t>
  </si>
  <si>
    <t>Thêm mới thành công với mã SV 51 ký tự</t>
  </si>
  <si>
    <t xml:space="preserve">MSV: 111(51 ký tự)
Ho Tên:   Nguyên Thị Huyen
email: H@gmail.com
So DT: 0912974975
Gioi Tinh: Nữ
Dia Chi: Hà Nội
Anh: url
</t>
  </si>
  <si>
    <t>Thông báo thêm mới khong thanh cong
và không lưu vào CSDL</t>
  </si>
  <si>
    <t>Thông báo thêm mới không thanh cong</t>
  </si>
  <si>
    <t>Thêm mới thành ko công sinh viên</t>
  </si>
  <si>
    <t>Thêm mới thành công với sdt ko hop lệ</t>
  </si>
  <si>
    <t xml:space="preserve">MSV: 123
Ho Tên:  Nguyên Thị Huyen
email: H@gmail.com
So DT: 091297497567
Gioi Tinh: Nữ
Dia Chi: Hà Nội
Anh: url
</t>
  </si>
  <si>
    <t xml:space="preserve">Thông báo thêm mới ko thanh cong
</t>
  </si>
  <si>
    <t>Thông báo thêm mới ko thanh 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</si>
</sst>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"/>
  </numFmts>
  <fonts count="2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1"/>
      <color indexed="10"/>
      <name val="ＭＳ Ｐゴシック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79">
    <xf numFmtId="0" fontId="0" fillId="0" borderId="0" xfId="0"/>
    <xf numFmtId="0" fontId="8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 applyAlignment="1"/>
    <xf numFmtId="0" fontId="6" fillId="2" borderId="0" xfId="0" applyFont="1" applyFill="1" applyBorder="1" applyAlignment="1">
      <alignment horizontal="center" wrapText="1"/>
    </xf>
    <xf numFmtId="0" fontId="6" fillId="2" borderId="0" xfId="0" applyFont="1" applyFill="1" applyAlignment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 applyBorder="1"/>
    <xf numFmtId="0" fontId="9" fillId="0" borderId="0" xfId="1" applyFont="1" applyBorder="1"/>
    <xf numFmtId="0" fontId="4" fillId="0" borderId="0" xfId="1" applyFont="1" applyBorder="1"/>
    <xf numFmtId="164" fontId="4" fillId="0" borderId="0" xfId="1" applyNumberFormat="1" applyFont="1" applyBorder="1"/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10" fontId="4" fillId="0" borderId="0" xfId="0" applyNumberFormat="1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8" fillId="0" borderId="0" xfId="0" applyFont="1" applyBorder="1"/>
    <xf numFmtId="0" fontId="4" fillId="0" borderId="6" xfId="0" applyNumberFormat="1" applyFont="1" applyBorder="1" applyAlignment="1">
      <alignment horizontal="center"/>
    </xf>
    <xf numFmtId="0" fontId="4" fillId="0" borderId="6" xfId="0" applyNumberFormat="1" applyFont="1" applyBorder="1"/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 wrapText="1"/>
    </xf>
    <xf numFmtId="0" fontId="15" fillId="3" borderId="14" xfId="0" applyNumberFormat="1" applyFont="1" applyFill="1" applyBorder="1" applyAlignment="1">
      <alignment horizontal="center" wrapText="1"/>
    </xf>
    <xf numFmtId="0" fontId="16" fillId="3" borderId="9" xfId="0" applyNumberFormat="1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left"/>
    </xf>
    <xf numFmtId="0" fontId="9" fillId="2" borderId="0" xfId="2" applyFont="1" applyFill="1" applyAlignment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Border="1" applyAlignment="1">
      <alignment horizontal="left" wrapText="1"/>
    </xf>
    <xf numFmtId="1" fontId="6" fillId="2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/>
    <xf numFmtId="0" fontId="6" fillId="0" borderId="0" xfId="0" applyFont="1" applyBorder="1" applyAlignment="1"/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 applyAlignment="1"/>
    <xf numFmtId="0" fontId="19" fillId="0" borderId="0" xfId="0" applyFont="1" applyAlignme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3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0" fontId="0" fillId="0" borderId="0" xfId="0" applyAlignment="1"/>
    <xf numFmtId="0" fontId="6" fillId="0" borderId="20" xfId="0" applyFont="1" applyBorder="1" applyAlignment="1">
      <alignment horizontal="left" vertical="top" wrapText="1"/>
    </xf>
    <xf numFmtId="2" fontId="0" fillId="0" borderId="20" xfId="0" applyNumberFormat="1" applyBorder="1"/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/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2" fontId="0" fillId="0" borderId="0" xfId="0" applyNumberFormat="1" applyAlignment="1">
      <alignment vertical="top"/>
    </xf>
    <xf numFmtId="2" fontId="4" fillId="0" borderId="1" xfId="0" applyNumberFormat="1" applyFont="1" applyBorder="1" applyAlignment="1">
      <alignment vertical="top"/>
    </xf>
    <xf numFmtId="0" fontId="23" fillId="0" borderId="1" xfId="0" applyFont="1" applyBorder="1" applyAlignment="1">
      <alignment vertical="top" wrapText="1"/>
    </xf>
    <xf numFmtId="2" fontId="24" fillId="0" borderId="20" xfId="0" applyNumberFormat="1" applyFont="1" applyBorder="1" applyAlignment="1">
      <alignment vertical="top"/>
    </xf>
    <xf numFmtId="0" fontId="23" fillId="0" borderId="2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/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6" fillId="2" borderId="31" xfId="0" applyFont="1" applyFill="1" applyBorder="1" applyAlignment="1">
      <alignment horizontal="center" wrapText="1"/>
    </xf>
    <xf numFmtId="0" fontId="22" fillId="4" borderId="22" xfId="2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top" wrapText="1"/>
    </xf>
    <xf numFmtId="165" fontId="6" fillId="0" borderId="22" xfId="0" applyNumberFormat="1" applyFont="1" applyBorder="1" applyAlignment="1">
      <alignment horizontal="center" vertical="top" wrapText="1"/>
    </xf>
    <xf numFmtId="0" fontId="22" fillId="4" borderId="22" xfId="2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9" fillId="2" borderId="32" xfId="2" applyFont="1" applyFill="1" applyBorder="1" applyAlignment="1">
      <alignment horizontal="left" wrapText="1"/>
    </xf>
    <xf numFmtId="0" fontId="9" fillId="2" borderId="22" xfId="2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right"/>
    </xf>
    <xf numFmtId="0" fontId="6" fillId="2" borderId="33" xfId="0" applyFont="1" applyFill="1" applyBorder="1" applyAlignment="1">
      <alignment horizontal="right"/>
    </xf>
    <xf numFmtId="165" fontId="6" fillId="0" borderId="21" xfId="0" applyNumberFormat="1" applyFont="1" applyBorder="1" applyAlignment="1">
      <alignment horizontal="left" vertical="top" wrapText="1"/>
    </xf>
    <xf numFmtId="0" fontId="15" fillId="6" borderId="0" xfId="2" applyFont="1" applyFill="1" applyBorder="1" applyAlignment="1">
      <alignment vertical="center" wrapText="1"/>
    </xf>
    <xf numFmtId="0" fontId="6" fillId="2" borderId="20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6" fillId="0" borderId="26" xfId="0" applyFont="1" applyBorder="1" applyAlignment="1">
      <alignment horizontal="left" vertical="top" wrapText="1"/>
    </xf>
    <xf numFmtId="2" fontId="6" fillId="0" borderId="20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top" wrapText="1"/>
    </xf>
    <xf numFmtId="0" fontId="22" fillId="4" borderId="20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4" fillId="2" borderId="34" xfId="2" applyFont="1" applyFill="1" applyBorder="1" applyAlignment="1">
      <alignment horizontal="left" wrapText="1"/>
    </xf>
    <xf numFmtId="0" fontId="15" fillId="6" borderId="1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15" fillId="6" borderId="26" xfId="2" applyFont="1" applyFill="1" applyBorder="1" applyAlignment="1">
      <alignment horizontal="center" vertical="center" wrapText="1"/>
    </xf>
    <xf numFmtId="0" fontId="15" fillId="6" borderId="27" xfId="2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left" vertical="center"/>
    </xf>
    <xf numFmtId="0" fontId="20" fillId="7" borderId="17" xfId="0" applyFont="1" applyFill="1" applyBorder="1" applyAlignment="1">
      <alignment horizontal="left" vertical="center"/>
    </xf>
    <xf numFmtId="0" fontId="15" fillId="6" borderId="30" xfId="2" applyFont="1" applyFill="1" applyBorder="1" applyAlignment="1">
      <alignment horizontal="center" vertical="center" wrapText="1"/>
    </xf>
    <xf numFmtId="0" fontId="15" fillId="6" borderId="21" xfId="2" applyFont="1" applyFill="1" applyBorder="1" applyAlignment="1">
      <alignment vertical="center" wrapText="1"/>
    </xf>
    <xf numFmtId="0" fontId="15" fillId="6" borderId="30" xfId="2" applyFont="1" applyFill="1" applyBorder="1" applyAlignment="1">
      <alignment vertical="center" wrapText="1"/>
    </xf>
    <xf numFmtId="0" fontId="15" fillId="6" borderId="0" xfId="2" applyFont="1" applyFill="1" applyBorder="1" applyAlignment="1">
      <alignment horizontal="center" vertical="center" wrapText="1"/>
    </xf>
    <xf numFmtId="0" fontId="15" fillId="6" borderId="31" xfId="2" applyFont="1" applyFill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left" vertical="top" wrapText="1"/>
    </xf>
    <xf numFmtId="165" fontId="22" fillId="0" borderId="20" xfId="0" applyNumberFormat="1" applyFont="1" applyBorder="1" applyAlignment="1">
      <alignment horizontal="center" vertical="top" wrapText="1"/>
    </xf>
    <xf numFmtId="165" fontId="22" fillId="0" borderId="22" xfId="0" applyNumberFormat="1" applyFont="1" applyBorder="1" applyAlignment="1">
      <alignment horizontal="center" vertical="top" wrapText="1"/>
    </xf>
    <xf numFmtId="165" fontId="6" fillId="0" borderId="22" xfId="0" applyNumberFormat="1" applyFont="1" applyBorder="1" applyAlignment="1">
      <alignment horizontal="center" vertical="top" wrapText="1"/>
    </xf>
    <xf numFmtId="165" fontId="6" fillId="0" borderId="17" xfId="0" applyNumberFormat="1" applyFont="1" applyBorder="1" applyAlignment="1">
      <alignment horizontal="center" vertical="top" wrapText="1"/>
    </xf>
    <xf numFmtId="0" fontId="15" fillId="6" borderId="21" xfId="2" applyFont="1" applyFill="1" applyBorder="1" applyAlignment="1">
      <alignment horizontal="center" vertical="center" wrapText="1"/>
    </xf>
  </cellXfs>
  <cellStyles count="4">
    <cellStyle name="Normal" xfId="0" builtinId="0"/>
    <cellStyle name="Normal_Functional Test Case v1.0" xfId="1"/>
    <cellStyle name="Normal_Sheet1_Vanco_CR022a1_TestCase_v0.1" xfId="2"/>
    <cellStyle name="標準_結合試験(AllOvertheWorld)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workbookViewId="0">
      <selection activeCell="B14" sqref="B14"/>
    </sheetView>
  </sheetViews>
  <sheetFormatPr defaultColWidth="9" defaultRowHeight="13.8"/>
  <cols>
    <col min="1" max="1" width="9" style="1"/>
    <col min="2" max="2" width="14.21875" style="1" customWidth="1"/>
    <col min="3" max="3" width="9" style="1"/>
    <col min="4" max="4" width="15" style="1" customWidth="1"/>
    <col min="5" max="5" width="32.44140625" style="1" customWidth="1"/>
    <col min="6" max="6" width="23.88671875" style="1" customWidth="1"/>
    <col min="7" max="7" width="20.44140625" style="1" customWidth="1"/>
    <col min="8" max="8" width="26.77734375" style="1" customWidth="1"/>
    <col min="9" max="16384" width="9" style="1"/>
  </cols>
  <sheetData>
    <row r="1" spans="1:8">
      <c r="B1" s="31"/>
      <c r="C1" s="31"/>
    </row>
    <row r="2" spans="1:8" ht="22.2">
      <c r="A2" s="26"/>
      <c r="B2" s="27" t="s">
        <v>3</v>
      </c>
      <c r="C2" s="26"/>
      <c r="D2" s="26"/>
      <c r="E2" s="26"/>
      <c r="F2" s="26"/>
      <c r="G2" s="26"/>
    </row>
    <row r="3" spans="1:8">
      <c r="A3" s="26"/>
      <c r="B3" s="28" t="s">
        <v>27</v>
      </c>
      <c r="C3" s="63">
        <v>1.2</v>
      </c>
      <c r="D3" s="29"/>
      <c r="E3" s="26"/>
      <c r="F3" s="26"/>
      <c r="G3" s="26"/>
    </row>
    <row r="4" spans="1:8">
      <c r="A4" s="26"/>
      <c r="B4" s="28" t="s">
        <v>13</v>
      </c>
      <c r="C4" s="11" t="s">
        <v>0</v>
      </c>
      <c r="D4" s="11"/>
      <c r="E4" s="26"/>
      <c r="F4" s="26"/>
      <c r="G4" s="26"/>
    </row>
    <row r="5" spans="1:8" ht="14.4" thickBot="1">
      <c r="A5" s="26"/>
      <c r="B5" s="28"/>
      <c r="C5" s="29"/>
      <c r="D5" s="29"/>
      <c r="E5" s="26"/>
      <c r="F5" s="26"/>
      <c r="G5" s="26"/>
    </row>
    <row r="6" spans="1:8" ht="14.25" customHeight="1" thickBot="1">
      <c r="A6" s="26"/>
      <c r="B6" s="28" t="s">
        <v>28</v>
      </c>
      <c r="C6" s="141" t="s">
        <v>39</v>
      </c>
      <c r="D6" s="141"/>
      <c r="E6" s="142"/>
      <c r="F6" s="26"/>
      <c r="G6" s="26"/>
    </row>
    <row r="7" spans="1:8">
      <c r="A7" s="26"/>
      <c r="B7" s="28" t="s">
        <v>29</v>
      </c>
      <c r="C7" s="141" t="s">
        <v>40</v>
      </c>
      <c r="D7" s="141"/>
      <c r="E7" s="142"/>
      <c r="F7" s="26"/>
      <c r="G7" s="26"/>
    </row>
    <row r="8" spans="1:8">
      <c r="A8" s="26"/>
      <c r="B8" s="28"/>
      <c r="C8" s="26"/>
      <c r="D8" s="26"/>
      <c r="E8" s="26"/>
      <c r="F8" s="26"/>
      <c r="G8" s="26"/>
    </row>
    <row r="9" spans="1:8">
      <c r="A9" s="26"/>
      <c r="B9" s="19"/>
      <c r="C9" s="19"/>
      <c r="D9" s="19"/>
      <c r="E9" s="19"/>
      <c r="F9" s="26"/>
      <c r="G9" s="26"/>
    </row>
    <row r="10" spans="1:8">
      <c r="B10" s="5" t="s">
        <v>21</v>
      </c>
    </row>
    <row r="11" spans="1:8" s="36" customFormat="1" ht="26.4">
      <c r="B11" s="52" t="s">
        <v>9</v>
      </c>
      <c r="C11" s="53" t="s">
        <v>22</v>
      </c>
      <c r="D11" s="53" t="s">
        <v>5</v>
      </c>
      <c r="E11" s="53" t="s">
        <v>6</v>
      </c>
      <c r="F11" s="53" t="s">
        <v>12</v>
      </c>
      <c r="G11" s="54" t="s">
        <v>11</v>
      </c>
      <c r="H11" s="90" t="s">
        <v>23</v>
      </c>
    </row>
    <row r="12" spans="1:8" s="36" customFormat="1" ht="26.4">
      <c r="B12" s="38">
        <v>39293</v>
      </c>
      <c r="C12" s="39" t="s">
        <v>34</v>
      </c>
      <c r="D12" s="40"/>
      <c r="E12" s="41" t="s">
        <v>10</v>
      </c>
      <c r="F12" s="77" t="s">
        <v>42</v>
      </c>
      <c r="G12" s="89"/>
      <c r="H12" s="91" t="s">
        <v>35</v>
      </c>
    </row>
    <row r="13" spans="1:8" s="36" customFormat="1" ht="26.4">
      <c r="B13" s="117">
        <v>39295</v>
      </c>
      <c r="C13" s="39" t="s">
        <v>36</v>
      </c>
      <c r="D13" s="40"/>
      <c r="E13" s="41" t="s">
        <v>37</v>
      </c>
      <c r="F13" s="77" t="s">
        <v>42</v>
      </c>
      <c r="G13" s="115" t="s">
        <v>43</v>
      </c>
      <c r="H13" s="91" t="s">
        <v>35</v>
      </c>
    </row>
    <row r="14" spans="1:8" s="37" customFormat="1" ht="26.4">
      <c r="B14" s="38">
        <v>39311</v>
      </c>
      <c r="C14" s="39" t="s">
        <v>38</v>
      </c>
      <c r="D14" s="40"/>
      <c r="E14" s="41" t="s">
        <v>37</v>
      </c>
      <c r="F14" s="77" t="s">
        <v>42</v>
      </c>
      <c r="G14" s="115" t="s">
        <v>41</v>
      </c>
      <c r="H14" s="91" t="s">
        <v>35</v>
      </c>
    </row>
    <row r="15" spans="1:8" s="37" customFormat="1" ht="13.2">
      <c r="B15" s="45"/>
      <c r="C15" s="46"/>
      <c r="D15" s="43"/>
      <c r="E15" s="43"/>
      <c r="F15" s="43"/>
      <c r="G15" s="43"/>
      <c r="H15" s="44"/>
    </row>
    <row r="16" spans="1:8" s="36" customFormat="1">
      <c r="B16" s="38"/>
      <c r="C16" s="42"/>
      <c r="D16" s="40"/>
      <c r="E16" s="43"/>
      <c r="F16" s="43"/>
      <c r="G16" s="43"/>
      <c r="H16" s="47"/>
    </row>
    <row r="17" spans="2:8" s="36" customFormat="1">
      <c r="B17" s="45"/>
      <c r="C17" s="46"/>
      <c r="D17" s="43"/>
      <c r="E17" s="43"/>
      <c r="F17" s="43"/>
      <c r="G17" s="43"/>
      <c r="H17" s="44"/>
    </row>
    <row r="18" spans="2:8" s="36" customFormat="1">
      <c r="B18" s="45"/>
      <c r="C18" s="46"/>
      <c r="D18" s="43"/>
      <c r="E18" s="43"/>
      <c r="F18" s="43"/>
      <c r="G18" s="43"/>
      <c r="H18" s="44"/>
    </row>
    <row r="19" spans="2:8" s="36" customFormat="1">
      <c r="B19" s="45"/>
      <c r="C19" s="46"/>
      <c r="D19" s="43"/>
      <c r="E19" s="43"/>
      <c r="F19" s="43"/>
      <c r="G19" s="43"/>
      <c r="H19" s="44"/>
    </row>
    <row r="20" spans="2:8" s="36" customFormat="1">
      <c r="B20" s="45"/>
      <c r="C20" s="46"/>
      <c r="D20" s="43"/>
      <c r="E20" s="43"/>
      <c r="F20" s="43"/>
      <c r="G20" s="43"/>
      <c r="H20" s="44"/>
    </row>
    <row r="21" spans="2:8" s="36" customFormat="1">
      <c r="B21" s="45"/>
      <c r="C21" s="46"/>
      <c r="D21" s="43"/>
      <c r="E21" s="43"/>
      <c r="F21" s="43"/>
      <c r="G21" s="43"/>
      <c r="H21" s="44"/>
    </row>
    <row r="22" spans="2:8" s="36" customFormat="1">
      <c r="B22" s="45"/>
      <c r="C22" s="46"/>
      <c r="D22" s="43"/>
      <c r="E22" s="43"/>
      <c r="F22" s="43"/>
      <c r="G22" s="43"/>
      <c r="H22" s="44"/>
    </row>
    <row r="23" spans="2:8" s="36" customFormat="1">
      <c r="B23" s="48"/>
      <c r="C23" s="49"/>
      <c r="D23" s="50"/>
      <c r="E23" s="50"/>
      <c r="F23" s="50"/>
      <c r="G23" s="50"/>
      <c r="H23" s="51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8"/>
  <sheetViews>
    <sheetView tabSelected="1" topLeftCell="A22" workbookViewId="0">
      <selection activeCell="J33" sqref="J33"/>
    </sheetView>
  </sheetViews>
  <sheetFormatPr defaultRowHeight="13.8" outlineLevelRow="1"/>
  <cols>
    <col min="1" max="2" width="15.77734375" customWidth="1"/>
    <col min="3" max="3" width="25" style="99" customWidth="1"/>
    <col min="4" max="4" width="42.109375" customWidth="1"/>
    <col min="5" max="5" width="32.109375" customWidth="1"/>
    <col min="6" max="7" width="14.44140625" customWidth="1"/>
    <col min="8" max="8" width="2.77734375" customWidth="1"/>
    <col min="9" max="9" width="18.44140625" hidden="1" customWidth="1"/>
    <col min="10" max="10" width="17.21875" customWidth="1"/>
    <col min="11" max="11" width="14.44140625" bestFit="1" customWidth="1"/>
    <col min="12" max="12" width="9" style="104"/>
    <col min="13" max="13" width="18" style="102" customWidth="1"/>
  </cols>
  <sheetData>
    <row r="1" spans="1:14" s="2" customFormat="1" ht="12.75" customHeight="1">
      <c r="A1" s="64" t="s">
        <v>3</v>
      </c>
      <c r="B1" s="64"/>
      <c r="C1" s="151"/>
      <c r="D1" s="151"/>
      <c r="E1" s="151"/>
      <c r="F1" s="151"/>
      <c r="G1" s="6"/>
      <c r="H1" s="6"/>
      <c r="I1" s="6"/>
      <c r="J1" s="6"/>
      <c r="K1" s="6"/>
      <c r="L1" s="118"/>
      <c r="M1" s="119"/>
      <c r="N1" s="7"/>
    </row>
    <row r="2" spans="1:14" s="2" customFormat="1" ht="11.25" customHeight="1" thickBot="1">
      <c r="A2" s="7"/>
      <c r="B2" s="7"/>
      <c r="C2" s="152"/>
      <c r="D2" s="152"/>
      <c r="E2" s="152"/>
      <c r="F2" s="152"/>
      <c r="G2" s="6"/>
      <c r="H2" s="6"/>
      <c r="I2" s="6"/>
      <c r="J2" s="6"/>
      <c r="K2" s="6"/>
      <c r="L2" s="118"/>
      <c r="M2" s="119"/>
      <c r="N2" s="7"/>
    </row>
    <row r="3" spans="1:14" s="3" customFormat="1" ht="15" customHeight="1">
      <c r="A3" s="65" t="s">
        <v>30</v>
      </c>
      <c r="B3" s="126"/>
      <c r="C3" s="141"/>
      <c r="D3" s="141"/>
      <c r="E3" s="159"/>
      <c r="F3" s="142"/>
      <c r="G3" s="68"/>
      <c r="H3" s="68"/>
      <c r="I3" s="68"/>
      <c r="J3" s="158"/>
      <c r="K3" s="158"/>
      <c r="L3" s="158"/>
      <c r="M3" s="158"/>
      <c r="N3" s="9"/>
    </row>
    <row r="4" spans="1:14" s="3" customFormat="1" ht="13.2">
      <c r="A4" s="72" t="s">
        <v>31</v>
      </c>
      <c r="B4" s="127"/>
      <c r="C4" s="161"/>
      <c r="D4" s="162"/>
      <c r="E4" s="162"/>
      <c r="F4" s="163"/>
      <c r="G4" s="68"/>
      <c r="H4" s="68"/>
      <c r="I4" s="68"/>
      <c r="J4" s="158"/>
      <c r="K4" s="158"/>
      <c r="L4" s="158"/>
      <c r="M4" s="158"/>
      <c r="N4" s="9"/>
    </row>
    <row r="5" spans="1:14" s="81" customFormat="1" ht="26.4">
      <c r="A5" s="72" t="s">
        <v>25</v>
      </c>
      <c r="B5" s="127"/>
      <c r="C5" s="154"/>
      <c r="D5" s="155"/>
      <c r="E5" s="155"/>
      <c r="F5" s="156"/>
      <c r="G5" s="79"/>
      <c r="H5" s="79"/>
      <c r="I5" s="79"/>
      <c r="J5" s="157"/>
      <c r="K5" s="157"/>
      <c r="L5" s="157"/>
      <c r="M5" s="157"/>
      <c r="N5" s="80"/>
    </row>
    <row r="6" spans="1:14" s="3" customFormat="1" ht="15" customHeight="1">
      <c r="A6" s="12" t="s">
        <v>32</v>
      </c>
      <c r="B6" s="128"/>
      <c r="C6" s="95">
        <f>COUNTIF(L12:L67,"Pass")</f>
        <v>7</v>
      </c>
      <c r="D6" s="10" t="s">
        <v>33</v>
      </c>
      <c r="E6" s="132"/>
      <c r="F6" s="13">
        <f>COUNTIF(L10:L789,"Pending")</f>
        <v>0</v>
      </c>
      <c r="G6" s="8"/>
      <c r="H6" s="8"/>
      <c r="I6" s="8"/>
      <c r="J6" s="158"/>
      <c r="K6" s="158"/>
      <c r="L6" s="158"/>
      <c r="M6" s="158"/>
      <c r="N6" s="9"/>
    </row>
    <row r="7" spans="1:14" s="3" customFormat="1" ht="15" customHeight="1" thickBot="1">
      <c r="A7" s="14" t="s">
        <v>1</v>
      </c>
      <c r="B7" s="129"/>
      <c r="C7" s="96">
        <f>COUNTIF(L12:L67,"Fail")</f>
        <v>0</v>
      </c>
      <c r="D7" s="30" t="s">
        <v>24</v>
      </c>
      <c r="E7" s="133"/>
      <c r="F7" s="66">
        <f>COUNTA(A12:A70) -15</f>
        <v>-4</v>
      </c>
      <c r="G7" s="69"/>
      <c r="H7" s="69"/>
      <c r="I7" s="69"/>
      <c r="J7" s="158"/>
      <c r="K7" s="158"/>
      <c r="L7" s="158"/>
      <c r="M7" s="158"/>
      <c r="N7" s="9"/>
    </row>
    <row r="8" spans="1:14" s="3" customFormat="1" ht="15" customHeight="1">
      <c r="A8" s="153"/>
      <c r="B8" s="153"/>
      <c r="C8" s="153"/>
      <c r="D8" s="153"/>
      <c r="E8" s="153"/>
      <c r="F8" s="153"/>
      <c r="G8" s="8"/>
      <c r="H8" s="8"/>
      <c r="I8" s="8"/>
      <c r="J8" s="8"/>
      <c r="K8" s="125"/>
      <c r="L8" s="120"/>
      <c r="M8" s="120"/>
      <c r="N8" s="9"/>
    </row>
    <row r="9" spans="1:14" s="83" customFormat="1" ht="12" customHeight="1">
      <c r="A9" s="168" t="s">
        <v>45</v>
      </c>
      <c r="B9" s="169" t="s">
        <v>46</v>
      </c>
      <c r="C9" s="168" t="s">
        <v>47</v>
      </c>
      <c r="D9" s="168" t="s">
        <v>50</v>
      </c>
      <c r="E9" s="164" t="s">
        <v>48</v>
      </c>
      <c r="F9" s="171" t="s">
        <v>49</v>
      </c>
      <c r="G9" s="171"/>
      <c r="H9" s="171"/>
      <c r="I9" s="131"/>
      <c r="J9" s="160" t="s">
        <v>51</v>
      </c>
      <c r="K9" s="178" t="s">
        <v>52</v>
      </c>
      <c r="L9" s="160" t="s">
        <v>4</v>
      </c>
      <c r="M9" s="160" t="s">
        <v>26</v>
      </c>
      <c r="N9" s="82"/>
    </row>
    <row r="10" spans="1:14" s="71" customFormat="1" ht="12" customHeight="1">
      <c r="A10" s="160"/>
      <c r="B10" s="170"/>
      <c r="C10" s="160"/>
      <c r="D10" s="160"/>
      <c r="E10" s="165"/>
      <c r="F10" s="172"/>
      <c r="G10" s="172"/>
      <c r="H10" s="172"/>
      <c r="I10" s="131"/>
      <c r="J10" s="160"/>
      <c r="K10" s="168"/>
      <c r="L10" s="160"/>
      <c r="M10" s="160"/>
      <c r="N10" s="70"/>
    </row>
    <row r="11" spans="1:14" s="84" customFormat="1" ht="15">
      <c r="A11" s="166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7"/>
    </row>
    <row r="12" spans="1:14" s="4" customFormat="1" ht="13.2">
      <c r="A12" s="145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7"/>
    </row>
    <row r="13" spans="1:14" s="4" customFormat="1" ht="13.2" outlineLevel="1">
      <c r="A13" s="88"/>
      <c r="B13" s="88"/>
      <c r="C13" s="97"/>
      <c r="D13" s="87"/>
      <c r="E13" s="122"/>
      <c r="F13" s="143"/>
      <c r="G13" s="144"/>
      <c r="H13" s="144"/>
      <c r="I13" s="86"/>
      <c r="J13" s="113"/>
      <c r="K13" s="113"/>
      <c r="L13" s="87"/>
      <c r="M13" s="85"/>
    </row>
    <row r="14" spans="1:14" s="4" customFormat="1" ht="13.2" outlineLevel="1">
      <c r="A14" s="149" t="s">
        <v>65</v>
      </c>
      <c r="B14" s="150"/>
      <c r="C14" s="150"/>
      <c r="D14" s="150"/>
      <c r="E14" s="124"/>
      <c r="F14" s="107"/>
      <c r="G14" s="107"/>
      <c r="H14" s="107"/>
      <c r="I14" s="107"/>
      <c r="J14" s="107"/>
      <c r="K14" s="121"/>
      <c r="L14" s="107"/>
      <c r="M14" s="108"/>
    </row>
    <row r="15" spans="1:14" s="4" customFormat="1" ht="105.6" outlineLevel="1">
      <c r="A15" s="88" t="s">
        <v>53</v>
      </c>
      <c r="B15" s="130" t="s">
        <v>58</v>
      </c>
      <c r="C15" s="105" t="s">
        <v>54</v>
      </c>
      <c r="D15" s="106" t="s">
        <v>57</v>
      </c>
      <c r="E15" s="134" t="s">
        <v>66</v>
      </c>
      <c r="F15" s="148" t="s">
        <v>55</v>
      </c>
      <c r="G15" s="144"/>
      <c r="H15" s="144"/>
      <c r="I15" s="86"/>
      <c r="J15" s="137" t="s">
        <v>60</v>
      </c>
      <c r="K15" s="122" t="s">
        <v>56</v>
      </c>
      <c r="L15" s="87" t="s">
        <v>44</v>
      </c>
      <c r="M15" s="85"/>
    </row>
    <row r="16" spans="1:14" s="4" customFormat="1" ht="63.75" customHeight="1" outlineLevel="1">
      <c r="A16" s="88" t="s">
        <v>61</v>
      </c>
      <c r="B16" s="130" t="s">
        <v>67</v>
      </c>
      <c r="C16" s="105" t="s">
        <v>68</v>
      </c>
      <c r="D16" s="106" t="s">
        <v>69</v>
      </c>
      <c r="E16" s="134" t="s">
        <v>70</v>
      </c>
      <c r="F16" s="148" t="s">
        <v>71</v>
      </c>
      <c r="G16" s="144"/>
      <c r="H16" s="144"/>
      <c r="I16" s="86"/>
      <c r="J16" s="137" t="s">
        <v>72</v>
      </c>
      <c r="K16" s="140" t="s">
        <v>56</v>
      </c>
      <c r="L16" s="87" t="s">
        <v>44</v>
      </c>
      <c r="M16" s="85"/>
    </row>
    <row r="17" spans="1:13" s="4" customFormat="1" ht="105.6" outlineLevel="1">
      <c r="A17" s="88" t="s">
        <v>62</v>
      </c>
      <c r="B17" s="130" t="s">
        <v>67</v>
      </c>
      <c r="C17" s="105" t="s">
        <v>73</v>
      </c>
      <c r="D17" s="106" t="s">
        <v>69</v>
      </c>
      <c r="E17" s="134" t="s">
        <v>74</v>
      </c>
      <c r="F17" s="148" t="s">
        <v>71</v>
      </c>
      <c r="G17" s="144"/>
      <c r="H17" s="144"/>
      <c r="I17" s="86"/>
      <c r="J17" s="140" t="s">
        <v>75</v>
      </c>
      <c r="K17" s="140" t="s">
        <v>56</v>
      </c>
      <c r="L17" s="87" t="s">
        <v>44</v>
      </c>
      <c r="M17" s="85"/>
    </row>
    <row r="18" spans="1:13" s="4" customFormat="1" ht="105.6" outlineLevel="1">
      <c r="A18" s="88" t="s">
        <v>76</v>
      </c>
      <c r="B18" s="130" t="s">
        <v>67</v>
      </c>
      <c r="C18" s="105" t="s">
        <v>77</v>
      </c>
      <c r="D18" s="106" t="s">
        <v>69</v>
      </c>
      <c r="E18" s="134" t="s">
        <v>78</v>
      </c>
      <c r="F18" s="148" t="s">
        <v>79</v>
      </c>
      <c r="G18" s="144"/>
      <c r="H18" s="144"/>
      <c r="I18" s="86"/>
      <c r="J18" s="140" t="s">
        <v>75</v>
      </c>
      <c r="K18" s="140" t="s">
        <v>56</v>
      </c>
      <c r="L18" s="87" t="s">
        <v>44</v>
      </c>
      <c r="M18" s="85"/>
    </row>
    <row r="19" spans="1:13" s="4" customFormat="1" ht="13.2" outlineLevel="1">
      <c r="A19" s="88"/>
      <c r="B19" s="130"/>
      <c r="C19" s="105"/>
      <c r="D19" s="106"/>
      <c r="E19" s="134"/>
      <c r="F19" s="148"/>
      <c r="G19" s="144"/>
      <c r="H19" s="144"/>
      <c r="I19" s="86"/>
      <c r="J19" s="140"/>
      <c r="K19" s="140"/>
      <c r="L19" s="87"/>
      <c r="M19" s="85"/>
    </row>
    <row r="20" spans="1:13" s="4" customFormat="1" ht="13.2" outlineLevel="1">
      <c r="A20" s="88"/>
      <c r="B20" s="130"/>
      <c r="C20" s="105"/>
      <c r="D20" s="106"/>
      <c r="E20" s="134"/>
      <c r="F20" s="148"/>
      <c r="G20" s="144"/>
      <c r="H20" s="144"/>
      <c r="I20" s="86"/>
      <c r="J20" s="138"/>
      <c r="K20" s="138"/>
      <c r="L20" s="87"/>
      <c r="M20" s="85"/>
    </row>
    <row r="21" spans="1:13" s="4" customFormat="1" ht="13.2" outlineLevel="1">
      <c r="A21" s="88"/>
      <c r="B21" s="130"/>
      <c r="C21" s="105"/>
      <c r="D21" s="106"/>
      <c r="E21" s="134"/>
      <c r="F21" s="148"/>
      <c r="G21" s="144"/>
      <c r="H21" s="144"/>
      <c r="I21" s="86"/>
      <c r="J21" s="136"/>
      <c r="K21" s="136"/>
      <c r="L21" s="87"/>
      <c r="M21" s="85"/>
    </row>
    <row r="22" spans="1:13" s="4" customFormat="1" ht="13.2" outlineLevel="1">
      <c r="A22" s="88"/>
      <c r="B22" s="130"/>
      <c r="C22" s="105"/>
      <c r="D22" s="106"/>
      <c r="E22" s="134"/>
      <c r="F22" s="148"/>
      <c r="G22" s="144"/>
      <c r="H22" s="144"/>
      <c r="I22" s="86"/>
      <c r="J22" s="136"/>
      <c r="K22" s="136"/>
      <c r="L22" s="87"/>
      <c r="M22" s="85"/>
    </row>
    <row r="23" spans="1:13" s="4" customFormat="1" ht="13.2" outlineLevel="1">
      <c r="A23" s="149" t="s">
        <v>64</v>
      </c>
      <c r="B23" s="150"/>
      <c r="C23" s="150"/>
      <c r="D23" s="150"/>
      <c r="E23" s="124"/>
      <c r="F23" s="107"/>
      <c r="G23" s="107"/>
      <c r="H23" s="107"/>
      <c r="I23" s="107"/>
      <c r="J23" s="107"/>
      <c r="K23" s="121"/>
      <c r="L23" s="107"/>
      <c r="M23" s="108"/>
    </row>
    <row r="24" spans="1:13" s="4" customFormat="1" ht="105.6" outlineLevel="1">
      <c r="A24" s="88" t="s">
        <v>53</v>
      </c>
      <c r="B24" s="130" t="s">
        <v>58</v>
      </c>
      <c r="C24" s="105" t="s">
        <v>54</v>
      </c>
      <c r="D24" s="106" t="s">
        <v>57</v>
      </c>
      <c r="E24" s="134" t="s">
        <v>80</v>
      </c>
      <c r="F24" s="148" t="s">
        <v>55</v>
      </c>
      <c r="G24" s="144"/>
      <c r="H24" s="144"/>
      <c r="I24" s="86"/>
      <c r="J24" s="140" t="s">
        <v>60</v>
      </c>
      <c r="K24" s="140" t="s">
        <v>56</v>
      </c>
      <c r="L24" s="87" t="s">
        <v>44</v>
      </c>
      <c r="M24" s="85"/>
    </row>
    <row r="25" spans="1:13" s="4" customFormat="1" ht="105.6" outlineLevel="1">
      <c r="A25" s="88" t="s">
        <v>61</v>
      </c>
      <c r="B25" s="130" t="s">
        <v>81</v>
      </c>
      <c r="C25" s="105" t="s">
        <v>82</v>
      </c>
      <c r="D25" s="106" t="s">
        <v>57</v>
      </c>
      <c r="E25" s="134" t="s">
        <v>83</v>
      </c>
      <c r="F25" s="148" t="s">
        <v>84</v>
      </c>
      <c r="G25" s="144"/>
      <c r="H25" s="144"/>
      <c r="I25" s="86"/>
      <c r="J25" s="140" t="s">
        <v>85</v>
      </c>
      <c r="K25" s="140" t="s">
        <v>56</v>
      </c>
      <c r="L25" s="87" t="s">
        <v>44</v>
      </c>
      <c r="M25" s="85"/>
    </row>
    <row r="26" spans="1:13" s="4" customFormat="1" ht="13.2" outlineLevel="1">
      <c r="A26" s="88"/>
      <c r="B26" s="130"/>
      <c r="C26" s="105"/>
      <c r="D26" s="106"/>
      <c r="E26" s="134"/>
      <c r="F26" s="148"/>
      <c r="G26" s="144"/>
      <c r="H26" s="144"/>
      <c r="I26" s="86"/>
      <c r="J26" s="94"/>
      <c r="K26" s="94"/>
      <c r="L26" s="87"/>
      <c r="M26" s="85"/>
    </row>
    <row r="27" spans="1:13" s="4" customFormat="1" ht="13.2" outlineLevel="1">
      <c r="A27" s="88"/>
      <c r="B27" s="130"/>
      <c r="C27" s="105"/>
      <c r="D27" s="106"/>
      <c r="E27" s="134"/>
      <c r="F27" s="148"/>
      <c r="G27" s="144"/>
      <c r="H27" s="144"/>
      <c r="I27" s="86"/>
      <c r="J27" s="140"/>
      <c r="K27" s="140"/>
      <c r="L27" s="87"/>
      <c r="M27" s="85"/>
    </row>
    <row r="28" spans="1:13" s="4" customFormat="1" ht="13.2" outlineLevel="1">
      <c r="A28" s="88"/>
      <c r="B28" s="130"/>
      <c r="C28" s="105"/>
      <c r="D28" s="106"/>
      <c r="E28" s="134"/>
      <c r="F28" s="148"/>
      <c r="G28" s="144"/>
      <c r="H28" s="144"/>
      <c r="I28" s="86"/>
      <c r="J28" s="139"/>
      <c r="K28" s="139"/>
      <c r="L28" s="87"/>
      <c r="M28" s="85"/>
    </row>
    <row r="29" spans="1:13" s="4" customFormat="1" ht="13.2" outlineLevel="1">
      <c r="A29" s="88"/>
      <c r="B29" s="130"/>
      <c r="C29" s="105"/>
      <c r="D29" s="106"/>
      <c r="E29" s="134"/>
      <c r="F29" s="148"/>
      <c r="G29" s="144"/>
      <c r="H29" s="144"/>
      <c r="I29" s="86"/>
      <c r="J29" s="94"/>
      <c r="K29" s="94"/>
      <c r="L29" s="87"/>
      <c r="M29" s="85"/>
    </row>
    <row r="30" spans="1:13" s="4" customFormat="1" ht="13.2" outlineLevel="1">
      <c r="A30" s="88"/>
      <c r="B30" s="130"/>
      <c r="C30" s="105"/>
      <c r="D30" s="106"/>
      <c r="E30" s="134"/>
      <c r="F30" s="148"/>
      <c r="G30" s="144"/>
      <c r="H30" s="144"/>
      <c r="I30" s="86"/>
      <c r="J30" s="100"/>
      <c r="K30" s="122"/>
      <c r="L30" s="87"/>
      <c r="M30" s="85"/>
    </row>
    <row r="31" spans="1:13" s="4" customFormat="1" ht="13.2">
      <c r="A31" s="145" t="s">
        <v>63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7"/>
    </row>
    <row r="32" spans="1:13" s="93" customFormat="1" ht="99.6" customHeight="1" outlineLevel="1">
      <c r="A32" s="88" t="s">
        <v>53</v>
      </c>
      <c r="B32" s="130" t="s">
        <v>58</v>
      </c>
      <c r="C32" s="105" t="s">
        <v>54</v>
      </c>
      <c r="D32" s="106" t="s">
        <v>57</v>
      </c>
      <c r="E32" s="134" t="s">
        <v>59</v>
      </c>
      <c r="F32" s="148" t="s">
        <v>55</v>
      </c>
      <c r="G32" s="144"/>
      <c r="H32" s="144"/>
      <c r="I32" s="86"/>
      <c r="J32" s="139" t="s">
        <v>60</v>
      </c>
      <c r="K32" s="139" t="s">
        <v>56</v>
      </c>
      <c r="L32" s="87" t="s">
        <v>44</v>
      </c>
      <c r="M32" s="94"/>
    </row>
    <row r="33" spans="1:17" s="93" customFormat="1" ht="111" customHeight="1" outlineLevel="1">
      <c r="A33" s="88" t="s">
        <v>61</v>
      </c>
      <c r="B33" s="130" t="s">
        <v>86</v>
      </c>
      <c r="C33" s="105" t="s">
        <v>87</v>
      </c>
      <c r="D33" s="106" t="s">
        <v>57</v>
      </c>
      <c r="E33" s="134" t="s">
        <v>88</v>
      </c>
      <c r="F33" s="148" t="s">
        <v>89</v>
      </c>
      <c r="G33" s="144"/>
      <c r="H33" s="144"/>
      <c r="J33" s="140" t="s">
        <v>90</v>
      </c>
      <c r="K33" s="112"/>
      <c r="L33" s="114"/>
      <c r="M33" s="94"/>
    </row>
    <row r="34" spans="1:17" s="93" customFormat="1" ht="121.8" customHeight="1" outlineLevel="1">
      <c r="A34" s="88"/>
      <c r="B34" s="88"/>
      <c r="C34" s="98"/>
      <c r="D34" s="92"/>
      <c r="E34" s="135"/>
      <c r="F34" s="143"/>
      <c r="G34" s="144"/>
      <c r="H34" s="144"/>
      <c r="J34" s="112"/>
      <c r="K34" s="112"/>
      <c r="L34" s="110"/>
      <c r="M34" s="111"/>
      <c r="N34" s="109"/>
      <c r="O34" s="109"/>
      <c r="P34" s="109"/>
      <c r="Q34" s="109"/>
    </row>
    <row r="35" spans="1:17" s="93" customFormat="1" ht="276.75" customHeight="1" outlineLevel="1">
      <c r="A35" s="88"/>
      <c r="B35" s="88"/>
      <c r="C35" s="98"/>
      <c r="D35" s="92"/>
      <c r="E35" s="135"/>
      <c r="F35" s="143"/>
      <c r="G35" s="144"/>
      <c r="H35" s="144"/>
      <c r="J35" s="101"/>
      <c r="K35" s="101"/>
      <c r="L35" s="103"/>
      <c r="M35" s="94"/>
    </row>
    <row r="36" spans="1:17" s="4" customFormat="1" ht="13.2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7"/>
    </row>
    <row r="37" spans="1:17" s="4" customFormat="1" ht="13.2" outlineLevel="1">
      <c r="A37" s="145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7"/>
    </row>
    <row r="38" spans="1:17" s="93" customFormat="1" ht="70.5" customHeight="1" outlineLevel="1">
      <c r="A38" s="88"/>
      <c r="B38" s="88"/>
      <c r="C38" s="98"/>
      <c r="D38" s="92"/>
      <c r="E38" s="135"/>
      <c r="F38" s="143"/>
      <c r="G38" s="144"/>
      <c r="H38" s="144"/>
      <c r="J38" s="101"/>
      <c r="K38" s="101"/>
      <c r="L38" s="103"/>
      <c r="M38" s="94"/>
    </row>
    <row r="39" spans="1:17" s="93" customFormat="1" ht="87.75" customHeight="1" outlineLevel="1">
      <c r="A39" s="88"/>
      <c r="B39" s="88"/>
      <c r="C39" s="98"/>
      <c r="D39" s="92"/>
      <c r="E39" s="135"/>
      <c r="F39" s="143"/>
      <c r="G39" s="144"/>
      <c r="H39" s="144"/>
      <c r="J39" s="101"/>
      <c r="K39" s="101"/>
      <c r="L39" s="103"/>
      <c r="M39" s="94"/>
    </row>
    <row r="40" spans="1:17" s="93" customFormat="1" ht="87.75" customHeight="1" outlineLevel="1">
      <c r="A40" s="88"/>
      <c r="B40" s="88"/>
      <c r="C40" s="98"/>
      <c r="D40" s="92"/>
      <c r="E40" s="135"/>
      <c r="F40" s="143"/>
      <c r="G40" s="144"/>
      <c r="H40" s="144"/>
      <c r="J40" s="101"/>
      <c r="K40" s="101"/>
      <c r="L40" s="103"/>
      <c r="M40" s="94"/>
    </row>
    <row r="41" spans="1:17" s="93" customFormat="1" ht="59.25" customHeight="1" outlineLevel="1">
      <c r="A41" s="88"/>
      <c r="B41" s="88"/>
      <c r="C41" s="98"/>
      <c r="D41" s="92"/>
      <c r="E41" s="135"/>
      <c r="F41" s="143"/>
      <c r="G41" s="144"/>
      <c r="H41" s="144"/>
      <c r="J41" s="101"/>
      <c r="K41" s="101"/>
      <c r="L41" s="103"/>
      <c r="M41" s="94"/>
    </row>
    <row r="42" spans="1:17" s="93" customFormat="1" ht="56.25" customHeight="1" outlineLevel="1">
      <c r="A42" s="88"/>
      <c r="B42" s="88"/>
      <c r="C42" s="98"/>
      <c r="D42" s="92"/>
      <c r="E42" s="135"/>
      <c r="F42" s="143"/>
      <c r="G42" s="144"/>
      <c r="H42" s="144"/>
      <c r="J42" s="101"/>
      <c r="K42" s="101"/>
      <c r="L42" s="103"/>
      <c r="M42" s="94"/>
    </row>
    <row r="43" spans="1:17" s="93" customFormat="1" ht="87.75" customHeight="1" outlineLevel="1">
      <c r="A43" s="88"/>
      <c r="B43" s="88"/>
      <c r="C43" s="98"/>
      <c r="D43" s="92"/>
      <c r="E43" s="135"/>
      <c r="F43" s="143"/>
      <c r="G43" s="144"/>
      <c r="H43" s="144"/>
      <c r="J43" s="101"/>
      <c r="K43" s="101"/>
      <c r="L43" s="103"/>
      <c r="M43" s="94"/>
    </row>
    <row r="44" spans="1:17" s="93" customFormat="1" ht="62.25" customHeight="1" outlineLevel="1">
      <c r="A44" s="88"/>
      <c r="B44" s="88"/>
      <c r="C44" s="98"/>
      <c r="D44" s="92"/>
      <c r="E44" s="135"/>
      <c r="F44" s="143"/>
      <c r="G44" s="144"/>
      <c r="H44" s="144"/>
      <c r="J44" s="101"/>
      <c r="K44" s="101"/>
      <c r="L44" s="103"/>
      <c r="M44" s="94"/>
    </row>
    <row r="45" spans="1:17" s="4" customFormat="1" ht="13.2" outlineLevel="1">
      <c r="A45" s="145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7"/>
    </row>
    <row r="46" spans="1:17" s="93" customFormat="1" ht="87.75" customHeight="1" outlineLevel="1">
      <c r="A46" s="88"/>
      <c r="B46" s="88"/>
      <c r="C46" s="98"/>
      <c r="D46" s="92"/>
      <c r="E46" s="135"/>
      <c r="F46" s="143"/>
      <c r="G46" s="144"/>
      <c r="H46" s="144"/>
      <c r="J46" s="101"/>
      <c r="K46" s="101"/>
      <c r="L46" s="103"/>
      <c r="M46" s="94"/>
    </row>
    <row r="47" spans="1:17" s="4" customFormat="1" ht="13.2">
      <c r="A47" s="145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7"/>
    </row>
    <row r="48" spans="1:17" s="93" customFormat="1" ht="101.25" customHeight="1" outlineLevel="1">
      <c r="A48" s="88"/>
      <c r="B48" s="88"/>
      <c r="C48" s="98"/>
      <c r="D48" s="92"/>
      <c r="E48" s="135"/>
      <c r="F48" s="143"/>
      <c r="G48" s="144"/>
      <c r="H48" s="144"/>
      <c r="J48" s="101"/>
      <c r="K48" s="101"/>
      <c r="L48" s="116"/>
      <c r="M48" s="94"/>
    </row>
    <row r="49" spans="1:13" s="93" customFormat="1" ht="96" customHeight="1" outlineLevel="1">
      <c r="A49" s="88"/>
      <c r="B49" s="88"/>
      <c r="C49" s="98"/>
      <c r="D49" s="92"/>
      <c r="E49" s="135"/>
      <c r="F49" s="143"/>
      <c r="G49" s="144"/>
      <c r="H49" s="144"/>
      <c r="J49" s="101"/>
      <c r="K49" s="101"/>
      <c r="L49" s="103"/>
      <c r="M49" s="94"/>
    </row>
    <row r="50" spans="1:13" s="93" customFormat="1" ht="96" customHeight="1" outlineLevel="1">
      <c r="A50" s="88"/>
      <c r="B50" s="88"/>
      <c r="C50" s="98"/>
      <c r="D50" s="92"/>
      <c r="E50" s="135"/>
      <c r="F50" s="143"/>
      <c r="G50" s="144"/>
      <c r="H50" s="144"/>
      <c r="J50" s="101"/>
      <c r="K50" s="101"/>
      <c r="L50" s="103"/>
      <c r="M50" s="94"/>
    </row>
    <row r="51" spans="1:13" s="4" customFormat="1" ht="13.2">
      <c r="A51" s="145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7"/>
    </row>
    <row r="52" spans="1:13" s="93" customFormat="1" ht="27.75" customHeight="1" outlineLevel="1">
      <c r="A52" s="174"/>
      <c r="B52" s="175"/>
      <c r="C52" s="176"/>
      <c r="D52" s="177"/>
      <c r="E52" s="123"/>
      <c r="F52" s="143"/>
      <c r="G52" s="144"/>
      <c r="H52" s="144"/>
      <c r="J52" s="101"/>
      <c r="K52" s="101"/>
      <c r="L52" s="103"/>
      <c r="M52" s="94"/>
    </row>
    <row r="53" spans="1:13" s="93" customFormat="1" ht="27.75" customHeight="1" outlineLevel="1">
      <c r="A53" s="88"/>
      <c r="B53" s="88"/>
      <c r="C53" s="98"/>
      <c r="D53" s="92"/>
      <c r="E53" s="135"/>
      <c r="F53" s="143"/>
      <c r="G53" s="144"/>
      <c r="H53" s="144"/>
      <c r="J53" s="101"/>
      <c r="K53" s="101"/>
      <c r="L53" s="103"/>
      <c r="M53" s="94"/>
    </row>
    <row r="54" spans="1:13" s="93" customFormat="1" ht="81" customHeight="1" outlineLevel="1">
      <c r="A54" s="88"/>
      <c r="B54" s="88"/>
      <c r="C54" s="98"/>
      <c r="D54" s="92"/>
      <c r="E54" s="135"/>
      <c r="F54" s="173"/>
      <c r="G54" s="144"/>
      <c r="H54" s="144"/>
      <c r="J54" s="101"/>
      <c r="K54" s="101"/>
      <c r="L54" s="103"/>
      <c r="M54" s="94"/>
    </row>
    <row r="55" spans="1:13" s="4" customFormat="1" ht="13.2">
      <c r="A55" s="145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7"/>
    </row>
    <row r="56" spans="1:13" s="4" customFormat="1" ht="13.2" outlineLevel="1">
      <c r="A56" s="145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7"/>
    </row>
    <row r="57" spans="1:13" s="93" customFormat="1" ht="87.75" customHeight="1" outlineLevel="1">
      <c r="A57" s="88"/>
      <c r="B57" s="88"/>
      <c r="C57" s="98"/>
      <c r="D57" s="92"/>
      <c r="E57" s="135"/>
      <c r="F57" s="143"/>
      <c r="G57" s="144"/>
      <c r="H57" s="144"/>
      <c r="J57" s="101"/>
      <c r="K57" s="101"/>
      <c r="L57" s="103"/>
      <c r="M57" s="94"/>
    </row>
    <row r="58" spans="1:13" s="93" customFormat="1" ht="87.75" customHeight="1" outlineLevel="1">
      <c r="A58" s="88"/>
      <c r="B58" s="88"/>
      <c r="C58" s="98"/>
      <c r="D58" s="92"/>
      <c r="E58" s="135"/>
      <c r="F58" s="143"/>
      <c r="G58" s="144"/>
      <c r="H58" s="144"/>
      <c r="J58" s="101"/>
      <c r="K58" s="101"/>
      <c r="L58" s="103"/>
      <c r="M58" s="94"/>
    </row>
    <row r="59" spans="1:13" s="4" customFormat="1" ht="13.2" outlineLevel="1">
      <c r="A59" s="145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7"/>
    </row>
    <row r="60" spans="1:13" s="93" customFormat="1" ht="87.75" customHeight="1" outlineLevel="1">
      <c r="A60" s="88"/>
      <c r="B60" s="88"/>
      <c r="C60" s="98"/>
      <c r="D60" s="92"/>
      <c r="E60" s="135"/>
      <c r="F60" s="143"/>
      <c r="G60" s="144"/>
      <c r="H60" s="144"/>
      <c r="J60" s="101"/>
      <c r="K60" s="101"/>
      <c r="L60" s="103"/>
      <c r="M60" s="94"/>
    </row>
    <row r="61" spans="1:13" s="93" customFormat="1" ht="87.75" customHeight="1" outlineLevel="1">
      <c r="A61" s="88"/>
      <c r="B61" s="88"/>
      <c r="C61" s="98"/>
      <c r="D61" s="92"/>
      <c r="E61" s="135"/>
      <c r="F61" s="143"/>
      <c r="G61" s="144"/>
      <c r="H61" s="144"/>
      <c r="J61" s="101"/>
      <c r="K61" s="101"/>
      <c r="L61" s="103"/>
      <c r="M61" s="94"/>
    </row>
    <row r="62" spans="1:13" s="4" customFormat="1" ht="13.2" outlineLevel="1">
      <c r="A62" s="145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7"/>
    </row>
    <row r="63" spans="1:13" s="93" customFormat="1" ht="87.75" customHeight="1" outlineLevel="1">
      <c r="A63" s="88"/>
      <c r="B63" s="88"/>
      <c r="C63" s="98"/>
      <c r="D63" s="92"/>
      <c r="E63" s="135"/>
      <c r="F63" s="143"/>
      <c r="G63" s="144"/>
      <c r="H63" s="144"/>
      <c r="J63" s="101"/>
      <c r="K63" s="101"/>
      <c r="L63" s="103"/>
      <c r="M63" s="94"/>
    </row>
    <row r="64" spans="1:13" s="93" customFormat="1" ht="87.75" customHeight="1" outlineLevel="1">
      <c r="A64" s="88"/>
      <c r="B64" s="88"/>
      <c r="C64" s="98"/>
      <c r="D64" s="92"/>
      <c r="E64" s="135"/>
      <c r="F64" s="143"/>
      <c r="G64" s="144"/>
      <c r="H64" s="144"/>
      <c r="J64" s="101"/>
      <c r="K64" s="101"/>
      <c r="L64" s="103"/>
      <c r="M64" s="94"/>
    </row>
    <row r="65" spans="1:13" s="4" customFormat="1" ht="13.2" outlineLevel="1">
      <c r="A65" s="145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7"/>
    </row>
    <row r="66" spans="1:13" s="93" customFormat="1" ht="87.75" customHeight="1" outlineLevel="1">
      <c r="A66" s="88"/>
      <c r="B66" s="88"/>
      <c r="C66" s="98"/>
      <c r="D66" s="92"/>
      <c r="E66" s="135"/>
      <c r="F66" s="143"/>
      <c r="G66" s="144"/>
      <c r="H66" s="144"/>
      <c r="J66" s="101"/>
      <c r="K66" s="101"/>
      <c r="L66" s="103"/>
      <c r="M66" s="94"/>
    </row>
    <row r="67" spans="1:13" s="93" customFormat="1" ht="87.75" customHeight="1" outlineLevel="1">
      <c r="A67" s="88"/>
      <c r="B67" s="88"/>
      <c r="C67" s="98"/>
      <c r="D67" s="92"/>
      <c r="E67" s="135"/>
      <c r="F67" s="143"/>
      <c r="G67" s="144"/>
      <c r="H67" s="144"/>
      <c r="J67" s="101"/>
      <c r="K67" s="101"/>
      <c r="L67" s="103"/>
      <c r="M67" s="94"/>
    </row>
    <row r="68" spans="1:13" s="4" customFormat="1" ht="13.2">
      <c r="A68" s="145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7"/>
    </row>
    <row r="69" spans="1:13" s="93" customFormat="1" ht="87.75" customHeight="1" outlineLevel="1">
      <c r="A69" s="88"/>
      <c r="B69" s="88"/>
      <c r="C69" s="98"/>
      <c r="D69" s="92"/>
      <c r="E69" s="135"/>
      <c r="F69" s="143"/>
      <c r="G69" s="144"/>
      <c r="H69" s="144"/>
      <c r="J69" s="101"/>
      <c r="K69" s="101"/>
      <c r="L69" s="103"/>
      <c r="M69" s="94"/>
    </row>
    <row r="70" spans="1:13" s="93" customFormat="1" ht="87.75" customHeight="1" outlineLevel="1">
      <c r="A70" s="88"/>
      <c r="B70" s="88"/>
      <c r="C70" s="98"/>
      <c r="D70" s="92"/>
      <c r="E70" s="135"/>
      <c r="F70" s="143"/>
      <c r="G70" s="144"/>
      <c r="H70" s="144"/>
      <c r="J70" s="101"/>
      <c r="K70" s="101"/>
      <c r="L70" s="103"/>
      <c r="M70" s="94"/>
    </row>
    <row r="71" spans="1:13" ht="12" customHeight="1"/>
    <row r="72" spans="1:13" ht="12" customHeight="1"/>
    <row r="73" spans="1:13" ht="12" customHeight="1"/>
    <row r="74" spans="1:13" ht="12" customHeight="1"/>
    <row r="75" spans="1:13" ht="12" customHeight="1"/>
    <row r="76" spans="1:13" ht="12" customHeight="1"/>
    <row r="77" spans="1:13" ht="12" customHeight="1"/>
    <row r="78" spans="1:13" ht="12" customHeight="1"/>
    <row r="79" spans="1:13" ht="12" customHeight="1"/>
    <row r="80" spans="1:13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</sheetData>
  <mergeCells count="81">
    <mergeCell ref="K9:K10"/>
    <mergeCell ref="A68:M68"/>
    <mergeCell ref="F69:H69"/>
    <mergeCell ref="F70:H70"/>
    <mergeCell ref="F49:H49"/>
    <mergeCell ref="F64:H64"/>
    <mergeCell ref="A65:M65"/>
    <mergeCell ref="F66:H66"/>
    <mergeCell ref="F67:H67"/>
    <mergeCell ref="F60:H60"/>
    <mergeCell ref="F61:H61"/>
    <mergeCell ref="F63:H63"/>
    <mergeCell ref="F57:H57"/>
    <mergeCell ref="F58:H58"/>
    <mergeCell ref="A56:M56"/>
    <mergeCell ref="A59:M59"/>
    <mergeCell ref="F44:H44"/>
    <mergeCell ref="F43:H43"/>
    <mergeCell ref="A51:M51"/>
    <mergeCell ref="F46:H46"/>
    <mergeCell ref="A62:M62"/>
    <mergeCell ref="A55:M55"/>
    <mergeCell ref="F53:H53"/>
    <mergeCell ref="F54:H54"/>
    <mergeCell ref="A52:D52"/>
    <mergeCell ref="F52:H52"/>
    <mergeCell ref="A45:M45"/>
    <mergeCell ref="A47:M47"/>
    <mergeCell ref="F48:H48"/>
    <mergeCell ref="F50:H50"/>
    <mergeCell ref="F22:H22"/>
    <mergeCell ref="A9:A10"/>
    <mergeCell ref="C9:C10"/>
    <mergeCell ref="D9:D10"/>
    <mergeCell ref="A14:D14"/>
    <mergeCell ref="F15:H15"/>
    <mergeCell ref="F20:H20"/>
    <mergeCell ref="F13:H13"/>
    <mergeCell ref="F16:H16"/>
    <mergeCell ref="B9:B10"/>
    <mergeCell ref="F9:H10"/>
    <mergeCell ref="F21:H21"/>
    <mergeCell ref="F17:H17"/>
    <mergeCell ref="F18:H18"/>
    <mergeCell ref="F19:H19"/>
    <mergeCell ref="C1:F2"/>
    <mergeCell ref="A8:F8"/>
    <mergeCell ref="C5:F5"/>
    <mergeCell ref="A12:M12"/>
    <mergeCell ref="J5:M5"/>
    <mergeCell ref="J6:M6"/>
    <mergeCell ref="J7:M7"/>
    <mergeCell ref="C3:F3"/>
    <mergeCell ref="J4:M4"/>
    <mergeCell ref="M9:M10"/>
    <mergeCell ref="J3:M3"/>
    <mergeCell ref="C4:F4"/>
    <mergeCell ref="E9:E10"/>
    <mergeCell ref="A11:M11"/>
    <mergeCell ref="L9:L10"/>
    <mergeCell ref="J9:J10"/>
    <mergeCell ref="A23:D23"/>
    <mergeCell ref="F24:H24"/>
    <mergeCell ref="F28:H28"/>
    <mergeCell ref="F29:H29"/>
    <mergeCell ref="A31:M31"/>
    <mergeCell ref="F30:H30"/>
    <mergeCell ref="F25:H25"/>
    <mergeCell ref="F26:H26"/>
    <mergeCell ref="F27:H27"/>
    <mergeCell ref="F32:H32"/>
    <mergeCell ref="F35:H35"/>
    <mergeCell ref="F34:H34"/>
    <mergeCell ref="F33:H33"/>
    <mergeCell ref="A36:M36"/>
    <mergeCell ref="F38:H38"/>
    <mergeCell ref="F39:H39"/>
    <mergeCell ref="F40:H40"/>
    <mergeCell ref="A37:M37"/>
    <mergeCell ref="F42:H42"/>
    <mergeCell ref="F41:H41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8" sqref="F8"/>
    </sheetView>
  </sheetViews>
  <sheetFormatPr defaultRowHeight="13.2"/>
  <cols>
    <col min="3" max="3" width="22.88671875" customWidth="1"/>
    <col min="7" max="7" width="18.88671875" customWidth="1"/>
  </cols>
  <sheetData>
    <row r="1" spans="1:7" ht="22.2">
      <c r="A1" s="15" t="s">
        <v>8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3.8">
      <c r="B3" s="19" t="s">
        <v>7</v>
      </c>
      <c r="C3" s="17"/>
      <c r="D3" s="17"/>
      <c r="E3" s="17"/>
      <c r="F3" s="17"/>
      <c r="G3" s="18"/>
    </row>
    <row r="4" spans="1:7" ht="13.8">
      <c r="B4" s="19" t="s">
        <v>2</v>
      </c>
      <c r="C4" s="117"/>
      <c r="D4" s="19"/>
      <c r="E4" s="19"/>
      <c r="F4" s="19"/>
      <c r="G4" s="19"/>
    </row>
    <row r="5" spans="1:7" ht="13.8">
      <c r="A5" s="19"/>
      <c r="B5" s="19"/>
      <c r="C5" s="19"/>
      <c r="D5" s="19"/>
      <c r="E5" s="19"/>
      <c r="F5" s="19"/>
      <c r="G5" s="19"/>
    </row>
    <row r="6" spans="1:7" ht="13.8">
      <c r="A6" s="19"/>
      <c r="B6" s="19"/>
      <c r="C6" s="19"/>
      <c r="D6" s="19"/>
      <c r="E6" s="19"/>
      <c r="F6" s="19"/>
      <c r="G6" s="19"/>
    </row>
    <row r="7" spans="1:7" ht="26.4">
      <c r="A7" s="20"/>
      <c r="B7" s="55" t="s">
        <v>14</v>
      </c>
      <c r="C7" s="56" t="s">
        <v>15</v>
      </c>
      <c r="D7" s="57" t="s">
        <v>32</v>
      </c>
      <c r="E7" s="56" t="s">
        <v>1</v>
      </c>
      <c r="F7" s="56" t="s">
        <v>33</v>
      </c>
      <c r="G7" s="58" t="s">
        <v>16</v>
      </c>
    </row>
    <row r="8" spans="1:7" s="67" customFormat="1" ht="13.8">
      <c r="A8" s="73"/>
      <c r="B8" s="74">
        <v>1</v>
      </c>
      <c r="C8" s="75">
        <f>'Export all carrier choices'!C4</f>
        <v>0</v>
      </c>
      <c r="D8" s="76">
        <f>'Export all carrier choices'!C6</f>
        <v>7</v>
      </c>
      <c r="E8" s="75">
        <f>'Export all carrier choices'!C7</f>
        <v>0</v>
      </c>
      <c r="F8" s="75">
        <f>'Export all carrier choices'!F6</f>
        <v>0</v>
      </c>
      <c r="G8" s="76">
        <f>'Export all carrier choices'!F7</f>
        <v>-4</v>
      </c>
    </row>
    <row r="9" spans="1:7" ht="13.8">
      <c r="A9" s="19"/>
      <c r="B9" s="34"/>
      <c r="C9" s="33"/>
      <c r="D9" s="78"/>
      <c r="E9" s="32"/>
      <c r="F9" s="32"/>
      <c r="G9" s="35"/>
    </row>
    <row r="10" spans="1:7" ht="13.8">
      <c r="A10" s="19"/>
      <c r="B10" s="59"/>
      <c r="C10" s="60" t="s">
        <v>17</v>
      </c>
      <c r="D10" s="61">
        <f>SUM(D6:D9)</f>
        <v>7</v>
      </c>
      <c r="E10" s="61">
        <f>SUM(E6:E9)</f>
        <v>0</v>
      </c>
      <c r="F10" s="61">
        <f>SUM(F6:F9)</f>
        <v>0</v>
      </c>
      <c r="G10" s="62">
        <f>SUM(G6:G9)</f>
        <v>-4</v>
      </c>
    </row>
    <row r="11" spans="1:7" ht="13.8">
      <c r="A11" s="19"/>
      <c r="B11" s="21"/>
      <c r="C11" s="19"/>
      <c r="D11" s="22"/>
      <c r="E11" s="23"/>
      <c r="F11" s="23"/>
      <c r="G11" s="23"/>
    </row>
    <row r="12" spans="1:7" ht="13.8">
      <c r="A12" s="19"/>
      <c r="B12" s="19"/>
      <c r="C12" s="19" t="s">
        <v>18</v>
      </c>
      <c r="D12" s="19"/>
      <c r="E12" s="24">
        <f>(D10+E10)*100/G10</f>
        <v>-175</v>
      </c>
      <c r="F12" s="19" t="s">
        <v>19</v>
      </c>
      <c r="G12" s="25"/>
    </row>
    <row r="13" spans="1:7" ht="13.8">
      <c r="A13" s="19"/>
      <c r="B13" s="19"/>
      <c r="C13" s="19" t="s">
        <v>20</v>
      </c>
      <c r="D13" s="19"/>
      <c r="E13" s="24">
        <f>D10*100/G10</f>
        <v>-175</v>
      </c>
      <c r="F13" s="19" t="s">
        <v>19</v>
      </c>
      <c r="G13" s="25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Export all carrier choices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ACER</cp:lastModifiedBy>
  <cp:lastPrinted>2006-08-02T10:15:15Z</cp:lastPrinted>
  <dcterms:created xsi:type="dcterms:W3CDTF">2002-07-27T17:17:25Z</dcterms:created>
  <dcterms:modified xsi:type="dcterms:W3CDTF">2025-05-31T01:53:36Z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