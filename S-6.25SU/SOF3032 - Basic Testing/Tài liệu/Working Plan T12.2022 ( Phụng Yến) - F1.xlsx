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yentp\Desktop\Phụng Yến Trần\WP\"/>
    </mc:Choice>
  </mc:AlternateContent>
  <xr:revisionPtr revIDLastSave="0" documentId="13_ncr:1_{40FFABEE-6E88-4F2F-9F2E-13AAC17B8DC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ần Phụng Yến" sheetId="1" r:id="rId1"/>
    <sheet name="WP PG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4" i="3" l="1"/>
  <c r="G43" i="3"/>
  <c r="G42" i="3"/>
  <c r="G41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3" i="3"/>
  <c r="G22" i="3"/>
  <c r="G21" i="3"/>
  <c r="G20" i="3"/>
  <c r="G19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G4" i="3"/>
  <c r="A1" i="3"/>
</calcChain>
</file>

<file path=xl/sharedStrings.xml><?xml version="1.0" encoding="utf-8"?>
<sst xmlns="http://schemas.openxmlformats.org/spreadsheetml/2006/main" count="971" uniqueCount="601">
  <si>
    <t>Region: MT-MN</t>
  </si>
  <si>
    <t>Mục tiêu công việc tháng:</t>
  </si>
  <si>
    <t xml:space="preserve">2/ Triển khai và thực thi hiệu quả các chương trình trade: </t>
  </si>
  <si>
    <t>3/ Giám sát thực thi đội ngũ Pb/Pg</t>
  </si>
  <si>
    <t>Tuần</t>
  </si>
  <si>
    <t xml:space="preserve">CV ưu tiên </t>
  </si>
  <si>
    <t>4W</t>
  </si>
  <si>
    <t>Thứ hai</t>
  </si>
  <si>
    <t>Thứ ba</t>
  </si>
  <si>
    <t>Thứ tư</t>
  </si>
  <si>
    <t>Thứ năm</t>
  </si>
  <si>
    <t>Thứ sáu</t>
  </si>
  <si>
    <t>Thứ bảy</t>
  </si>
  <si>
    <t>Chủ Nhật</t>
  </si>
  <si>
    <t>Tuần 1</t>
  </si>
  <si>
    <t>- Review và lập kế hoạch, triển khai thực hiện mục tiêu T4. Đánh giá kết quả Đạt được và chưa được cùng team</t>
  </si>
  <si>
    <t>Ngày</t>
  </si>
  <si>
    <t>HCM</t>
  </si>
  <si>
    <t>Ở đâu</t>
  </si>
  <si>
    <t>VP</t>
  </si>
  <si>
    <t>Nội dung CV</t>
  </si>
  <si>
    <t>Tương tác QLTT
Kiểm tra CTKM
Push sell out/In</t>
  </si>
  <si>
    <t>Với ai</t>
  </si>
  <si>
    <t>team MT MN</t>
  </si>
  <si>
    <t>1 mình</t>
  </si>
  <si>
    <t>Phương tiện</t>
  </si>
  <si>
    <t>xe máy</t>
  </si>
  <si>
    <t>Nghỉ đêm</t>
  </si>
  <si>
    <t>Tuần 2</t>
  </si>
  <si>
    <t xml:space="preserve">Họp đầu tuần review hoạt động, báo cáo tuần </t>
  </si>
  <si>
    <t>Tuần 3</t>
  </si>
  <si>
    <t>Tuần 4</t>
  </si>
  <si>
    <t>Tuần 5</t>
  </si>
  <si>
    <t>Proposed By:</t>
  </si>
  <si>
    <t>Approved By:</t>
  </si>
  <si>
    <t>1/ Đạt chỉ tiêu: SO</t>
  </si>
  <si>
    <t>VPHCM</t>
  </si>
  <si>
    <t>Online w All Team</t>
  </si>
  <si>
    <t>OFF</t>
  </si>
  <si>
    <t>WORKING PLAN - T12-2022</t>
  </si>
  <si>
    <t>1/12/2022</t>
  </si>
  <si>
    <t>2/12/2022</t>
  </si>
  <si>
    <t>3/12/2022</t>
  </si>
  <si>
    <t>4/12/2022</t>
  </si>
  <si>
    <t>5/12/2022</t>
  </si>
  <si>
    <t>6/12/2022</t>
  </si>
  <si>
    <t>7/12/2022</t>
  </si>
  <si>
    <t>8/12/2022</t>
  </si>
  <si>
    <t>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</si>
  <si>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</si>
  <si>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</si>
  <si>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</si>
  <si>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</si>
  <si>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</si>
  <si>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</si>
  <si>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</si>
  <si>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</si>
  <si>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</si>
  <si>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</si>
  <si>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</si>
  <si>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</si>
  <si>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</si>
  <si>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</si>
  <si>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</si>
  <si>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</si>
  <si>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</si>
  <si>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</si>
  <si>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</si>
  <si>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</si>
  <si>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</si>
  <si>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</si>
  <si>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Công tác tỉnh :
Đồng Nai, Bà Rịa Vũng Tàu, Bình Thuận, Ninh Thuận, Khánh Hoà, Bình Phước, Bình Dương, Tây Ninh</t>
  </si>
  <si>
    <t>Ms Yến + Ms Tho</t>
  </si>
  <si>
    <t>Xe công ty</t>
  </si>
  <si>
    <t>ASM : TRẦN PHỤNG YẾN</t>
  </si>
  <si>
    <r>
      <rPr>
        <b/>
        <sz val="12"/>
        <color theme="8" tint="-0.249977111117893"/>
        <rFont val="Calibri"/>
        <family val="2"/>
        <scheme val="minor"/>
      </rPr>
      <t>Họp PG Cao Phong</t>
    </r>
    <r>
      <rPr>
        <sz val="10"/>
        <rFont val="Calibri"/>
        <family val="2"/>
        <charset val="163"/>
        <scheme val="minor"/>
      </rPr>
      <t xml:space="preserve">
Kiểm tra CTKM
Push sell out/In</t>
    </r>
  </si>
  <si>
    <t>Đi thị trường NK Quận 1</t>
  </si>
  <si>
    <t>Đi thị trường NK Thủ Đức</t>
  </si>
  <si>
    <t>Đi thị trường NK Bình Tân + An Lạc</t>
  </si>
  <si>
    <t>Đi thị trường Nk + ĐMX Quận 4 + Q7</t>
  </si>
  <si>
    <t>Đi thị trường Nk + ĐMX Gò Vấp</t>
  </si>
  <si>
    <t>Đi thị trường Nk Bình Thạnh</t>
  </si>
  <si>
    <t>Đi thị trường NK Tân Phú + Q12</t>
  </si>
  <si>
    <t>Đi thị trường NK Quận 2 + ĐMX Quận 2</t>
  </si>
  <si>
    <t>Đi thị trường NK Gò Vấp + Quận 12</t>
  </si>
  <si>
    <t>Đi thị trường NK + ĐMX Đồng Nai</t>
  </si>
  <si>
    <t>Đi thị trường NK Củ Chi</t>
  </si>
  <si>
    <t>Đi thị trường Nk + ĐMX Tân Phú</t>
  </si>
  <si>
    <t>Đi thị trường NK + ĐMX Q8 + bình chánh</t>
  </si>
  <si>
    <t>Đi thị trường ĐMX Quận 12</t>
  </si>
  <si>
    <r>
      <rPr>
        <b/>
        <sz val="12"/>
        <color theme="8" tint="-0.249977111117893"/>
        <rFont val="Calibri"/>
        <family val="2"/>
        <scheme val="minor"/>
      </rPr>
      <t>Họp PG Nguyễn Kim</t>
    </r>
    <r>
      <rPr>
        <sz val="10"/>
        <rFont val="Calibri"/>
        <family val="2"/>
        <charset val="163"/>
        <scheme val="minor"/>
      </rPr>
      <t xml:space="preserve">
Kiểm tra CTKM
Push sell out/In</t>
    </r>
  </si>
  <si>
    <r>
      <rPr>
        <b/>
        <sz val="12"/>
        <color theme="8" tint="-0.249977111117893"/>
        <rFont val="Calibri"/>
        <family val="2"/>
        <scheme val="minor"/>
      </rPr>
      <t>Họp PG Điện Máy Xanh</t>
    </r>
    <r>
      <rPr>
        <sz val="10"/>
        <rFont val="Calibri"/>
        <family val="2"/>
        <charset val="163"/>
        <scheme val="minor"/>
      </rPr>
      <t xml:space="preserve">
Kiểm tra CTKM
Push sell out/In</t>
    </r>
  </si>
  <si>
    <t>Field khu vực miền Đông, miền Trung</t>
  </si>
  <si>
    <t>STT</t>
  </si>
  <si>
    <t>Mã nhân viên</t>
  </si>
  <si>
    <t>Họ Tên</t>
  </si>
  <si>
    <t>Nơi làm việc</t>
  </si>
  <si>
    <t>Cao Phong</t>
  </si>
  <si>
    <t>MTS0203196</t>
  </si>
  <si>
    <t>MTS0202203</t>
  </si>
  <si>
    <t>Nguyễn Thanh Thảo</t>
  </si>
  <si>
    <t>MTS0203756</t>
  </si>
  <si>
    <t>Trần Phi</t>
  </si>
  <si>
    <t>Lê Tiểu My</t>
  </si>
  <si>
    <t>AGR-MTS-0014</t>
  </si>
  <si>
    <t>MTS0203673</t>
  </si>
  <si>
    <t>Cao Phong Tân Phú</t>
  </si>
  <si>
    <t>MTS0203841</t>
  </si>
  <si>
    <t>Lê Tùng Hiếu</t>
  </si>
  <si>
    <t>MTS0203246</t>
  </si>
  <si>
    <t>Hà Thu Huyền</t>
  </si>
  <si>
    <t>MTS0203245</t>
  </si>
  <si>
    <t>Đàng Văn Cứ</t>
  </si>
  <si>
    <t>Cao Phong Quy Nhơn</t>
  </si>
  <si>
    <t>MTS0203293</t>
  </si>
  <si>
    <t>Cao Phong Đà Nẵng 2</t>
  </si>
  <si>
    <t>MTS0203292</t>
  </si>
  <si>
    <t>Nguyễn Minh Thy</t>
  </si>
  <si>
    <t>Cao Phong Cần Thơ 2</t>
  </si>
  <si>
    <t>MTS0203324</t>
  </si>
  <si>
    <t>Nguyễn Diệu Huệ</t>
  </si>
  <si>
    <t>Cao Phong Bình Tân 2</t>
  </si>
  <si>
    <t>MTS0203294</t>
  </si>
  <si>
    <t>Trần Minh Trung</t>
  </si>
  <si>
    <t>MTS0203345</t>
  </si>
  <si>
    <t>Ngô Bích Nhiên</t>
  </si>
  <si>
    <t>MTS0203199</t>
  </si>
  <si>
    <t>Huỳnh Nguyễn Quỳnh Giao</t>
  </si>
  <si>
    <t>Cao Phong Đà Nẵng 3</t>
  </si>
  <si>
    <t>MTS0203300</t>
  </si>
  <si>
    <t>Tô Thị Kim Hiệp</t>
  </si>
  <si>
    <t>Cao Phong Nha Trang</t>
  </si>
  <si>
    <t>MTS0203419</t>
  </si>
  <si>
    <t>Nguyễn Hồng LeL</t>
  </si>
  <si>
    <t>MTS0203480</t>
  </si>
  <si>
    <t>Phạm Thị Thu Mỹ</t>
  </si>
  <si>
    <t>MTS0203481</t>
  </si>
  <si>
    <t>Phạm Thị Kim Thoa</t>
  </si>
  <si>
    <t>Cao Phong Phan Rang</t>
  </si>
  <si>
    <t>MTS0203937</t>
  </si>
  <si>
    <t>Âu Thiếu Cường</t>
  </si>
  <si>
    <t>MTS0203483</t>
  </si>
  <si>
    <t>Nguyễn Thị Bắc Ninh</t>
  </si>
  <si>
    <t>Cao Phong Gò Vấp</t>
  </si>
  <si>
    <t>MTS0303486</t>
  </si>
  <si>
    <t>Võ Thị Huyền Trinh</t>
  </si>
  <si>
    <t>MTS0203513</t>
  </si>
  <si>
    <t>Lê Thị Uyên Chi</t>
  </si>
  <si>
    <t>Cao Phong Bà Rịa</t>
  </si>
  <si>
    <t>MTS0203504</t>
  </si>
  <si>
    <t>Nguyễn Châu Hồng Diễm</t>
  </si>
  <si>
    <t>Cao Phong Vũng Tàu</t>
  </si>
  <si>
    <t>MTS0203502</t>
  </si>
  <si>
    <t>Ngô Thị Mai Trâm</t>
  </si>
  <si>
    <t>Cao Phong Bình Chánh</t>
  </si>
  <si>
    <t>MTS0203506</t>
  </si>
  <si>
    <t>Nguyễn Thảo Nguyên</t>
  </si>
  <si>
    <t>Cao Phong Đà Lạt</t>
  </si>
  <si>
    <t>Lâm Lệ Thanh</t>
  </si>
  <si>
    <t>Cao Phong Hóc Môn</t>
  </si>
  <si>
    <t>AGR-MTS-0031</t>
  </si>
  <si>
    <t>Nguyễn Thị Thúy Hằng</t>
  </si>
  <si>
    <t>Cao Phong Bến Tre</t>
  </si>
  <si>
    <t>Nguyễn Thị Cẩm Ly</t>
  </si>
  <si>
    <t>Cao Phong Quảng Bình</t>
  </si>
  <si>
    <t>MTS0303505</t>
  </si>
  <si>
    <t>Hoàng Thị Thu Thảo</t>
  </si>
  <si>
    <t>Cao Phong Quảng Trị</t>
  </si>
  <si>
    <t>Trần Thị Ngọc Anh</t>
  </si>
  <si>
    <t>Võ Thị Thanh Thanh</t>
  </si>
  <si>
    <t>Cao Phong Phú Hội</t>
  </si>
  <si>
    <t>MTS0203226</t>
  </si>
  <si>
    <t>Trần Thị Thu Lam</t>
  </si>
  <si>
    <t>MTS0203675</t>
  </si>
  <si>
    <t>Phạm Hoàng Trinh</t>
  </si>
  <si>
    <t>MTS0203592</t>
  </si>
  <si>
    <t>Nguyễn Thị Mỹ Hồng</t>
  </si>
  <si>
    <t>Cao Phong Long Xuyên</t>
  </si>
  <si>
    <t>Đinh Mỹ Ngọc</t>
  </si>
  <si>
    <t>MTS0203750</t>
  </si>
  <si>
    <t>Nguyễn Tông Hằng</t>
  </si>
  <si>
    <t>Cao Phong Nha Trang 3</t>
  </si>
  <si>
    <t>MTS0203749</t>
  </si>
  <si>
    <t>Đoàn Thị Mai Loan</t>
  </si>
  <si>
    <t>Cao Phong Linh Đông</t>
  </si>
  <si>
    <t>MTS0203751</t>
  </si>
  <si>
    <t>Lê Thị Minh Nguyệt</t>
  </si>
  <si>
    <t>Cao Phong Cam Ranh</t>
  </si>
  <si>
    <t>Nguyễn Trung Hiếu</t>
  </si>
  <si>
    <t>MTS0203923</t>
  </si>
  <si>
    <t>Trần Kim Ngân</t>
  </si>
  <si>
    <t>Cao Phong Đồng Tháp</t>
  </si>
  <si>
    <t>MTS0203921</t>
  </si>
  <si>
    <t>Võ Tuyết Nhi</t>
  </si>
  <si>
    <t>Cao Phong Sadec</t>
  </si>
  <si>
    <t>Cao Phong Vĩnh Long</t>
  </si>
  <si>
    <t>Ngô Bá Huy</t>
  </si>
  <si>
    <t>Cao Phong Long Điền</t>
  </si>
  <si>
    <t>Cao Phong Cà Mau 2</t>
  </si>
  <si>
    <t>Lê Quốc Khánh</t>
  </si>
  <si>
    <t>Cao Phong Gò Vấp 3</t>
  </si>
  <si>
    <t>Cao Phong Tây Ninh</t>
  </si>
  <si>
    <t>Cao Phong Bến Cát</t>
  </si>
  <si>
    <t>Trần Thị Thu</t>
  </si>
  <si>
    <t>Cao Phong Bảo Lộc</t>
  </si>
  <si>
    <t>AGR-MTS-0032</t>
  </si>
  <si>
    <t>MTS0203925</t>
  </si>
  <si>
    <t>Cao Phong Vĩnh Lộc</t>
  </si>
  <si>
    <t>MTS0203304</t>
  </si>
  <si>
    <t>Nguyễn Thị Như Phương</t>
  </si>
  <si>
    <t>Nguyễn Kim</t>
  </si>
  <si>
    <t>Thạch Thị Hạnh</t>
  </si>
  <si>
    <t>Nguyễn Kim Thuận An</t>
  </si>
  <si>
    <t>pgthihanh</t>
  </si>
  <si>
    <t>Nguyễn Kim Sài Gòn</t>
  </si>
  <si>
    <t>Lê Bùi Ánh Tuyết</t>
  </si>
  <si>
    <t>Nguyễn Kim Quy Nhơn</t>
  </si>
  <si>
    <t xml:space="preserve">pganhtuyet </t>
  </si>
  <si>
    <t>Lê Thanh Nhàn</t>
  </si>
  <si>
    <t>Nguyễn Kim Thủ Đức</t>
  </si>
  <si>
    <t>pgthanhnhan</t>
  </si>
  <si>
    <t>Châu Thị Ngọc Dung</t>
  </si>
  <si>
    <t>Nguyễn Kim Bà Rịa</t>
  </si>
  <si>
    <t>pgngocdung</t>
  </si>
  <si>
    <t>Nguyễn Thanh Nhàn</t>
  </si>
  <si>
    <t>Nguyễn Kim Bình Dương</t>
  </si>
  <si>
    <t>pgthanhnhan1</t>
  </si>
  <si>
    <t>Trịnh Đỗ Ái Vân</t>
  </si>
  <si>
    <t>Nguyễn Kim Bình Thạnh</t>
  </si>
  <si>
    <t>AGR-MTS-0022</t>
  </si>
  <si>
    <t>Nguyễn Thị Ngọc Trinh</t>
  </si>
  <si>
    <t>Nguyễn Kim Cần Thơ</t>
  </si>
  <si>
    <t>AGR-MTS-0006</t>
  </si>
  <si>
    <t>Nguyễn Huỳnh Như</t>
  </si>
  <si>
    <t>Nguyễn Kim Củ Chi</t>
  </si>
  <si>
    <t>pghuynhnhu</t>
  </si>
  <si>
    <t>Nguyễn Thị Trúc Quyền</t>
  </si>
  <si>
    <t>Nguyễn Kim Long Xuyên</t>
  </si>
  <si>
    <t>pgtrucquyen</t>
  </si>
  <si>
    <t>Lâm Thị Huyền Trang</t>
  </si>
  <si>
    <t>Nguyễn Kim Gò Vấp</t>
  </si>
  <si>
    <t>pghuyentrang</t>
  </si>
  <si>
    <t>Đỗ Phương Trang</t>
  </si>
  <si>
    <t>Nguyễn Kim Bạc Liêu</t>
  </si>
  <si>
    <t>pgphuongtrang</t>
  </si>
  <si>
    <t>Đỗ Thị Phương Uyên</t>
  </si>
  <si>
    <t>Nguyễn Kim Quang Trung</t>
  </si>
  <si>
    <t>AGR-MTS-0008</t>
  </si>
  <si>
    <t>Nguyễn Thị Cẩm Tú</t>
  </si>
  <si>
    <t>Nguyễn Kim Đà Nẵng</t>
  </si>
  <si>
    <t>pgcamtu</t>
  </si>
  <si>
    <t>Nguyễn Kim Dĩ An</t>
  </si>
  <si>
    <t>Nguyễn Kim Đồng Nai</t>
  </si>
  <si>
    <t>Nguyễn Kim Phú Nhuận</t>
  </si>
  <si>
    <t>Nguyễn Kim Biên Hòa</t>
  </si>
  <si>
    <t>Nguyễn Thị Châu Đon</t>
  </si>
  <si>
    <t>Nguyễn Kim Kiên Giang</t>
  </si>
  <si>
    <t>pgchaudon</t>
  </si>
  <si>
    <t>Nguyễn Vương Bảo Trân</t>
  </si>
  <si>
    <t>Nguyễn Kim Quận 02</t>
  </si>
  <si>
    <t>AGR-MTS-0007</t>
  </si>
  <si>
    <t>VHC</t>
  </si>
  <si>
    <t>AGR-MTS-0052</t>
  </si>
  <si>
    <t>Huỳnh Nhật Cường</t>
  </si>
  <si>
    <t>ĐML_HCM_BCH - 15 Phạm Hùng</t>
  </si>
  <si>
    <t>AGR-MTS-0010</t>
  </si>
  <si>
    <t>Bùi Thị Kim Thuận</t>
  </si>
  <si>
    <t>ĐML_DNA_LCH - 908A Tôn Đức Thắng</t>
  </si>
  <si>
    <t>Ngô Quốc Việt</t>
  </si>
  <si>
    <t>ĐML_LAN_TAN - 254 Hùng Vương</t>
  </si>
  <si>
    <t>AGR-MTS-0012</t>
  </si>
  <si>
    <t>Nguyễn Thị Kiều Oanh</t>
  </si>
  <si>
    <t>ĐML_CMA_CMA - 18 Ngô Quyền</t>
  </si>
  <si>
    <t>AGR-MTS-0002</t>
  </si>
  <si>
    <t>MTS0303869</t>
  </si>
  <si>
    <t>Nguyễn Lê Hoàng Oanh</t>
  </si>
  <si>
    <t>ĐML_DNA_STR - Võ Văn Kiệt</t>
  </si>
  <si>
    <t>ĐML_HCM_GVA - 2A Nguyễn Oanh</t>
  </si>
  <si>
    <t>ĐML_DNA_CLE - 727 Nguyễn Hữu Thọ</t>
  </si>
  <si>
    <t>Nguyễn Thị Ngọc Hương</t>
  </si>
  <si>
    <t>ĐML_NTH_PRA - 279 Ngô Gia Tự</t>
  </si>
  <si>
    <t>AGR-MTS-0005</t>
  </si>
  <si>
    <t>Nguyễn Công Nhận</t>
  </si>
  <si>
    <t>ĐML_AGI_LXU - 129 Trần Hưng Đạo</t>
  </si>
  <si>
    <t>AGR-MTS-0013</t>
  </si>
  <si>
    <t>Nguyễn Thị Cẩm Nhung</t>
  </si>
  <si>
    <t>ĐMM_PYE_THO - 34A Lê Lợi</t>
  </si>
  <si>
    <t>AGR-MTS-0001</t>
  </si>
  <si>
    <t>ĐML_PYE_THO - 222 Hùng Vương</t>
  </si>
  <si>
    <t>ĐML_DON_BHO - 205C Phạm Văn Thuận</t>
  </si>
  <si>
    <t>ĐML_HCM_TDU - 794 Phạm Văn Đồng</t>
  </si>
  <si>
    <t>ĐML_HCM_Q12 - 01 Bis Tô Ký</t>
  </si>
  <si>
    <t>ĐML_HCM_CCH - 874 Quốc Lộ 22</t>
  </si>
  <si>
    <t>Trần Vĩnh Thuần</t>
  </si>
  <si>
    <t>ĐML_CTH_NKI - 172B Đường 3/2</t>
  </si>
  <si>
    <t>AGR-MTS-0015</t>
  </si>
  <si>
    <t>ĐML_QNA_TKY - Phan Bội Châu</t>
  </si>
  <si>
    <t>Nguyễn Thị Thu Thảo</t>
  </si>
  <si>
    <t>ĐML_DLA_BMT - 37 Nguyễn Tất Thành</t>
  </si>
  <si>
    <t>AGR-MTS-0009</t>
  </si>
  <si>
    <t>Đặng Thị Cẩm</t>
  </si>
  <si>
    <t>ĐML_QNG_QNG - 275 Quang Trung</t>
  </si>
  <si>
    <t>AGR-MTS-0023</t>
  </si>
  <si>
    <t>Võ Thị Kiều</t>
  </si>
  <si>
    <t>ĐMM_BDI_PCA - 246 Quang Trung</t>
  </si>
  <si>
    <t>AGR-MTS-0028</t>
  </si>
  <si>
    <t>Lê Thanh Thiệt</t>
  </si>
  <si>
    <t>ĐML_HCM_TDU - 71 Lê Văn Việt</t>
  </si>
  <si>
    <t>AGR-MTS-0046</t>
  </si>
  <si>
    <t>ĐML_HCM_TDU - 633 Lê Văn Việt</t>
  </si>
  <si>
    <t>ĐML_TGI_CLA - 2/9 Quốc Lộ 1A (Cai Lậy)</t>
  </si>
  <si>
    <t>Phan Thị Hiếu</t>
  </si>
  <si>
    <t>ĐML_BRV_BRI - 25 Nguyễn Hữu Thọ</t>
  </si>
  <si>
    <t>AGR-MTS-0048</t>
  </si>
  <si>
    <t>Phan Thị Hồng Duyên</t>
  </si>
  <si>
    <t>ĐML_BTH_PTH - 241 Trần Hưng Đạo</t>
  </si>
  <si>
    <t>AGR-MTS-0047</t>
  </si>
  <si>
    <t>Nguyễn Mỹ Nhật Linh</t>
  </si>
  <si>
    <t>ĐML_TTH_HUE - 197 Trần Hưng Đạo</t>
  </si>
  <si>
    <t>AGR-MTS-0054</t>
  </si>
  <si>
    <t>Lê Ngọc Huyền Nhi</t>
  </si>
  <si>
    <t>ĐML_TTH_HUE - 01 Đường Hà Nội</t>
  </si>
  <si>
    <t>AGR-MTS-0051</t>
  </si>
  <si>
    <t>Nguyễn Thị Bích Thuý</t>
  </si>
  <si>
    <t>Hà Thị Thanh Thương</t>
  </si>
  <si>
    <t>AGR-MTS-0055</t>
  </si>
  <si>
    <t>LỊCH LÀM VIỆC PB/PGs MTMN</t>
  </si>
  <si>
    <t>Địa Chỉ Store</t>
  </si>
  <si>
    <t>Email</t>
  </si>
  <si>
    <t>Ngày vào làm</t>
  </si>
  <si>
    <t>Lịch làm việc</t>
  </si>
  <si>
    <t>Account</t>
  </si>
  <si>
    <t>Ca sáng</t>
  </si>
  <si>
    <t>Ca Chiều</t>
  </si>
  <si>
    <t xml:space="preserve"> Nguyễn Hồng Phúc Uyên </t>
  </si>
  <si>
    <t>Cao Phong Đà Nẵng</t>
  </si>
  <si>
    <t>559 Nguyễn Hữu Thọ, Phường Khuê Trung, Quận Cẩm Lệ, TP.Đà Nẵng</t>
  </si>
  <si>
    <t>Nguyenhongphucuyen@gmail.com</t>
  </si>
  <si>
    <t>T4,6,CN</t>
  </si>
  <si>
    <t>T3,5,7</t>
  </si>
  <si>
    <t>Cao Phong Q5-1</t>
  </si>
  <si>
    <t>Lô G, Chung Cư Hùng Vương, Phường 11, Quận 5, TP.HCM</t>
  </si>
  <si>
    <t>chansolntt123@gmail.com</t>
  </si>
  <si>
    <t>T4,CN</t>
  </si>
  <si>
    <t>T2,5,6,7</t>
  </si>
  <si>
    <t>Cao Phong Q5-2</t>
  </si>
  <si>
    <t>tranphi291007@gmail.com</t>
  </si>
  <si>
    <t>T2,5,6</t>
  </si>
  <si>
    <t>T3,T7,CN</t>
  </si>
  <si>
    <t>Cao Phong Q5-GD</t>
  </si>
  <si>
    <t>322-324 Tân Kỳ - Tân Quý, Phường Sơn Kỳ, Quận Tân Phú, TP.HCM</t>
  </si>
  <si>
    <t>hannahle18081999@gmail.com</t>
  </si>
  <si>
    <t>T2,5,7</t>
  </si>
  <si>
    <t>Trần thị như ý</t>
  </si>
  <si>
    <t>189/4 Trường Chinh, Phường Tân Hưng Thuận, Quận 12, TP.HCM</t>
  </si>
  <si>
    <t>nhuylam2612@gmail.com</t>
  </si>
  <si>
    <t>Cao Phong Quận 12</t>
  </si>
  <si>
    <t>31 Nguyễn Tất Thành, Phường Tân Lợi, TP.Buôn Ma Thuột, Đắk Lắk</t>
  </si>
  <si>
    <t>letunghieudell@gmail.com</t>
  </si>
  <si>
    <t>Cao Phong Daklak</t>
  </si>
  <si>
    <t>Tổ 17, KV4, Nguyễn Thái Học (Khu C Bộ CHQS Tỉnh), Phường Nguyễn Văn Cừ, TP.Quy Nhơn, Bình Định</t>
  </si>
  <si>
    <t>thuhuyen01061993@gmail.com</t>
  </si>
  <si>
    <t>Cao Phong Daklak 2</t>
  </si>
  <si>
    <t>116-118-120-122 Nguyễn Tri Phương, Phường Chính Gián, Quận Thanh Khê, TP.Đà Nẵng</t>
  </si>
  <si>
    <t>Phuongnguyen070499@gmai.com</t>
  </si>
  <si>
    <t>161 Đường 3/2, Phường Hưng Lợi, Quận Ninh Kiều, TP.Cần Thơ</t>
  </si>
  <si>
    <t>dangvancu2701@gmail.com</t>
  </si>
  <si>
    <t>Huỳnh Thị Thuỳ Giang</t>
  </si>
  <si>
    <t>639 Hương Lộ 2, Phường Bình Trị Đông, Quận Bình Tân, TP.HCM</t>
  </si>
  <si>
    <t>Thuygiang231@gmail.com</t>
  </si>
  <si>
    <t>Cao Phong Cần Thơ</t>
  </si>
  <si>
    <t>697-699 Kinh Dương Vương, Phường An Lạc, Quận Bình Tân, TP.HCM</t>
  </si>
  <si>
    <t>Nbichnhien2000@gmail.com</t>
  </si>
  <si>
    <t>T4,7</t>
  </si>
  <si>
    <t>T2,5,6,CN</t>
  </si>
  <si>
    <t>590 CMT8, Phường 11, Quận 3, TP.HCM</t>
  </si>
  <si>
    <t>Thynguyen0694@gmail.com</t>
  </si>
  <si>
    <t>T2,6,CN</t>
  </si>
  <si>
    <t>Đặng Trần Trúc Liên</t>
  </si>
  <si>
    <t>Cao Phong Bình Tân</t>
  </si>
  <si>
    <t>260B Phạm Văn Thuận, Phường Thống Nhất, TP.Biên Hòa, Đồng Nai</t>
  </si>
  <si>
    <t>403 Tôn Đức Thắng, Phường Hòa Minh, Quận Liên Chiểu, TP.Đà Nẵng</t>
  </si>
  <si>
    <t>Ngdieuhue1992@gmail.com</t>
  </si>
  <si>
    <t xml:space="preserve">MTS0203941 </t>
  </si>
  <si>
    <t>Cao Phong Bình Tân 3</t>
  </si>
  <si>
    <t>Số 212 Đường 23/10, Phường Phương Sơn, TP.Nha Trang, Khánh Hòa</t>
  </si>
  <si>
    <t>Ntrunghieu1212@gmail.com</t>
  </si>
  <si>
    <t>Cao Phong Quận 3</t>
  </si>
  <si>
    <t>18 Quốc Lộ 1A, Ấp Bà Điều, Xã Lý Văn Lâm, TP.Cà Mau</t>
  </si>
  <si>
    <t>Minhtrungtran1997@gmail.com</t>
  </si>
  <si>
    <t>T3,4,5,6</t>
  </si>
  <si>
    <t>T7,CN</t>
  </si>
  <si>
    <t>832 - 834 Phan Châu Trinh, Phường An Sơn, TP.Tam Kỳ, Quảng Nam</t>
  </si>
  <si>
    <t>Hiepkim92@gmail.com</t>
  </si>
  <si>
    <t>Cao Phong Đà Nẵng 3.1</t>
  </si>
  <si>
    <t>632 Thống Nhất, Phường Đạo Long, TP.Phan Rang-Tháp Chàm, Ninh Thuận</t>
  </si>
  <si>
    <t>huynhnguyenquynhgiao17@gmail.com</t>
  </si>
  <si>
    <t>Tòa Nhà H2 - 196 Hoàng Diệu, Phường 8, Quận 4, TP.HCM</t>
  </si>
  <si>
    <t>vothihuyentrinh.krh@gmail.com</t>
  </si>
  <si>
    <t>Cao Phong Cà Mau</t>
  </si>
  <si>
    <t>531 Nguyễn Oanh, Phường 17, Quận Gò Vấp, TP.HCM</t>
  </si>
  <si>
    <t>nguyenhonglelcm@gmail.com</t>
  </si>
  <si>
    <t>AGR-MTS-0056</t>
  </si>
  <si>
    <t>Trần Xảo My</t>
  </si>
  <si>
    <t>23/11/2022</t>
  </si>
  <si>
    <t>592 Cách Mạng Tháng 8, Phước Trung, Bà Rịa, Bà Rịa - Vũng Tàu</t>
  </si>
  <si>
    <t>nguyenninh22111999@gmail.com</t>
  </si>
  <si>
    <t>T3,6,CN</t>
  </si>
  <si>
    <t>MTS0203985</t>
  </si>
  <si>
    <t>Cao Phong Gò Vấp 2</t>
  </si>
  <si>
    <t>504 Nguyễn An Ninh, Phường Nguyễn An Ninh, TP.Vũng Tàu, Bà Rịa - Vũng Tàu</t>
  </si>
  <si>
    <t>ngocd7547@gmail.com</t>
  </si>
  <si>
    <t>MTS0203948</t>
  </si>
  <si>
    <t>A8/A2 - A8/3 Quốc Lộ 50, Ấp 2, Xã Bình Hưng, Huyện Bình Chánh, TP.HCM</t>
  </si>
  <si>
    <t xml:space="preserve">Lequockhanhke@gmail.com </t>
  </si>
  <si>
    <t>authieucuong001@gmail.com</t>
  </si>
  <si>
    <t>phamthikimthoa090102@gmail.com</t>
  </si>
  <si>
    <t>pmy5108@gmail.com</t>
  </si>
  <si>
    <t>Uyenchi20121991@gmail.com</t>
  </si>
  <si>
    <t>Biebiez7495@gmail.com</t>
  </si>
  <si>
    <t xml:space="preserve">maitram0000@gmail.com </t>
  </si>
  <si>
    <t>Thaonguyen06041@gmail.com</t>
  </si>
  <si>
    <t>Huỳnh Thị Kim Thuỷ</t>
  </si>
  <si>
    <t>h.t.k.thuy96@gmail.com</t>
  </si>
  <si>
    <t>thanhlamle746@gmail.com</t>
  </si>
  <si>
    <t>Mts0203512</t>
  </si>
  <si>
    <t>Hari.homiq@gmail.com</t>
  </si>
  <si>
    <t>Mts0303503</t>
  </si>
  <si>
    <t>camly1921@gmail.com</t>
  </si>
  <si>
    <t>Thaohoang25101997@gmail.com</t>
  </si>
  <si>
    <t>MTS0203530</t>
  </si>
  <si>
    <t>ngocanh3012976769@gmail.com</t>
  </si>
  <si>
    <t>thulam12081997@gmail.com</t>
  </si>
  <si>
    <t>phamtrinh020997@gmail.com</t>
  </si>
  <si>
    <t>Số 17-17bis Đường 3/4, Phường 3, TP.Đà Lạt, Lâm Đồng</t>
  </si>
  <si>
    <t>nguyenthimyhong123vn@gmail.com</t>
  </si>
  <si>
    <t>MTS0203567</t>
  </si>
  <si>
    <t>475 Tô Ký, Ấp Nam Thới, Xã Thới Tam Thôn, Huyện Hóc Môn, TP.HCM</t>
  </si>
  <si>
    <t>Thanhvo260796@gmail.com</t>
  </si>
  <si>
    <t>559B Lý Thường Kiệt, Phường Bắc Lý, TP.Đồng Hới, Quảng Bình</t>
  </si>
  <si>
    <t>Doanthimailoan1990@gmail.com</t>
  </si>
  <si>
    <t>246 Lê Duẩn, Phường Đông Lễ, TP.Đông Hà, Quảng Trị</t>
  </si>
  <si>
    <t>lethiminhnguyet.questra@gmail.com</t>
  </si>
  <si>
    <t>520 Huỳnh Tấn Phát, Phường Bình Thuận, Quận 7, TP.HCM</t>
  </si>
  <si>
    <t>kimngantran110@gmail.com</t>
  </si>
  <si>
    <t>MTS0203766</t>
  </si>
  <si>
    <t>Nguyễn Thanh Tuấn</t>
  </si>
  <si>
    <t>100 Lê Lợi, Phường Phú Hội, TP.Huế</t>
  </si>
  <si>
    <t>nguyenthanhtuan.080198@gmail.com</t>
  </si>
  <si>
    <t>T4,5,7</t>
  </si>
  <si>
    <t>MTS0203929</t>
  </si>
  <si>
    <t>huy96810@gmail.com</t>
  </si>
  <si>
    <t>Votuyetnhi20092000@gmail.com</t>
  </si>
  <si>
    <t>T2,4,6,CN</t>
  </si>
  <si>
    <t>T5,7</t>
  </si>
  <si>
    <t>151/1 Trần Hưng Đạo, Mỹ Phước, TP.Long Xuyên, An Giang</t>
  </si>
  <si>
    <t>Nguyenhang250690@gmail.com</t>
  </si>
  <si>
    <t>MTS0203986</t>
  </si>
  <si>
    <t>Trịnh Thị hoa</t>
  </si>
  <si>
    <t>685 Phan Văn Trị, Phường 7, Quận Gò Vấp, TP.HCM</t>
  </si>
  <si>
    <t>hoa.Trinhnk@gmail.com</t>
  </si>
  <si>
    <t>612, Lê Văn Khương ,KP 7, Phường Thới An, Quận 12, TP.Hồ Chí Minh</t>
  </si>
  <si>
    <t>thutran24392@gmail.com</t>
  </si>
  <si>
    <t>MTS0303999</t>
  </si>
  <si>
    <t xml:space="preserve">Nguyễn Thị Kim Thảo </t>
  </si>
  <si>
    <t xml:space="preserve">Cao Phong Phú Yên </t>
  </si>
  <si>
    <t>1200 Lê Hồng Phong, P. Phước Long, TP. Nha Trang, Tỉnh Khánh Hòa</t>
  </si>
  <si>
    <t>kimthaonguyenthi987@gmail.com</t>
  </si>
  <si>
    <t>AGR-MTS-0049</t>
  </si>
  <si>
    <t>Mai Thị Tuyết Nhi</t>
  </si>
  <si>
    <t>Cao Phong Gia Lai</t>
  </si>
  <si>
    <t>21/11/2022</t>
  </si>
  <si>
    <t>AGR-MTS-0057</t>
  </si>
  <si>
    <t>La Thị Thu Huyền</t>
  </si>
  <si>
    <t>T3,4,6,7,CN</t>
  </si>
  <si>
    <t>T2</t>
  </si>
  <si>
    <t>AGR-MTS-0058</t>
  </si>
  <si>
    <t>Lê Thị Bích Thuận</t>
  </si>
  <si>
    <t>VHC Quy Nhơn</t>
  </si>
  <si>
    <t>T2,T6,CN</t>
  </si>
  <si>
    <t>T3,T5,T7</t>
  </si>
  <si>
    <t>T2,T4,T7</t>
  </si>
  <si>
    <t>T3,T5,CN</t>
  </si>
  <si>
    <t>T2,T3,T5,T6,T7,CN</t>
  </si>
  <si>
    <t>T2,T3,T5,T7</t>
  </si>
  <si>
    <t>T6,CN</t>
  </si>
  <si>
    <t>T2,T5,T7</t>
  </si>
  <si>
    <t>T4,T6,CN</t>
  </si>
  <si>
    <t>T2,T5,T6</t>
  </si>
  <si>
    <t>T4,T7,CN</t>
  </si>
  <si>
    <t>T2,T3,T6,CN</t>
  </si>
  <si>
    <t>T5,T7</t>
  </si>
  <si>
    <t>Mimap280200@gmail.com</t>
  </si>
  <si>
    <t>T2, T6, CN</t>
  </si>
  <si>
    <t>Ninobui70@gmail.com</t>
  </si>
  <si>
    <t>ngoviet19900@gmail.com</t>
  </si>
  <si>
    <t>T2,T5,CN</t>
  </si>
  <si>
    <t>T6,T7,CN</t>
  </si>
  <si>
    <t>kieuoanh94223@gmail.com</t>
  </si>
  <si>
    <t>T2,T6,T7</t>
  </si>
  <si>
    <t>T4,T5,CN</t>
  </si>
  <si>
    <t>oanh.pipi16@gmail.com</t>
  </si>
  <si>
    <t>1993.Email.phinhuongnguyen@gmail.com</t>
  </si>
  <si>
    <t>T5,T6,CN</t>
  </si>
  <si>
    <t>nguyennhanbro777@gmail.com</t>
  </si>
  <si>
    <t>T3,T4,CN</t>
  </si>
  <si>
    <t>T2, T5,T7</t>
  </si>
  <si>
    <t>camnhung.py@gmail.com</t>
  </si>
  <si>
    <t>T2,T3,T4</t>
  </si>
  <si>
    <t>T7</t>
  </si>
  <si>
    <t>T6, CN</t>
  </si>
  <si>
    <t>tranvinhthuanst@gmail.com</t>
  </si>
  <si>
    <t>Thaonguyenmanager248@gmail.com</t>
  </si>
  <si>
    <t>T3,T6,CN</t>
  </si>
  <si>
    <t>dangthicam1309@gmail.com</t>
  </si>
  <si>
    <t>T3,T4,T7</t>
  </si>
  <si>
    <t>vothikieu90@gmail.com</t>
  </si>
  <si>
    <t>T3</t>
  </si>
  <si>
    <t>T5</t>
  </si>
  <si>
    <t>T6,T7</t>
  </si>
  <si>
    <t>T2,T3,CN</t>
  </si>
  <si>
    <t>T5,T6,T7</t>
  </si>
  <si>
    <t>T2,T4,CN</t>
  </si>
  <si>
    <t>T3,T6,T7</t>
  </si>
  <si>
    <t>ĐMX_HUE_185 Hùng Vương</t>
  </si>
  <si>
    <t>T2,T3,T5</t>
  </si>
  <si>
    <t>ĐML_TTH_HTH - 1110 Nguyễn Tất Thành</t>
  </si>
  <si>
    <t>ĐMX</t>
  </si>
  <si>
    <t>MTS0203875</t>
  </si>
  <si>
    <t>AGR-MTS-0063</t>
  </si>
  <si>
    <t>Võ Thị Bích Tuệ</t>
  </si>
  <si>
    <t>ĐML_HCM_BTA - 953 Tỉnh Lộ 10</t>
  </si>
  <si>
    <t>T5,T6,T7,CN</t>
  </si>
  <si>
    <t>AGR-MTS-0062</t>
  </si>
  <si>
    <t>Nguyễn Vĩnh Phú</t>
  </si>
  <si>
    <t>AGR-MTS-0064</t>
  </si>
  <si>
    <t>Nguyễn Bích Hậu</t>
  </si>
  <si>
    <t>ĐML_BRV_VTA - 155 Nguyễn Thái Học</t>
  </si>
  <si>
    <t>CN</t>
  </si>
  <si>
    <t>953 Tỉnh Lộ 10, Khu Phố 8, P. Tân Tạo, Q.Bình Tân, TP.Hồ Chí Minh</t>
  </si>
  <si>
    <t>15 Phạm Hùng, ấp 4A, xã Bình Hưng, H. Bình Chánh, TP.HCM</t>
  </si>
  <si>
    <t>279 Ngô Gia Tự, KP 5, P.Tấn Tài, TP.Phan Rang – Tháp Chàm, T.Ninh Thuận</t>
  </si>
  <si>
    <t>Số 01 đường Hà Nội, P.Vĩnh Ninh, TP.Huế, T.Thừa Thiên Huế</t>
  </si>
  <si>
    <t>Số 908A đường Tôn Đức Thắng, P. Hòa Khánh Bắc, Q. Liên Chiểu,  TP. Đà Nẵng</t>
  </si>
  <si>
    <t>25 Nguyễn Hữu Thọ, KP 2 , P.Phước Trung, TP.Bà Rịa, Tỉnh Bà Rịa - Vũng Tàu</t>
  </si>
  <si>
    <t>254 Hùng Vương, P.03, TP.Tân An, T.Long An</t>
  </si>
  <si>
    <t>Số 197-199 Trần Hưng Đạo, Phường Đông Ba, Thành phố Huế, Tỉnh Thừa Thiên Huế, Việt Nam</t>
  </si>
  <si>
    <t>Số 222 Hùng Vương, Phường 7, TP.Tuy Hòa, T.Phú Yên</t>
  </si>
  <si>
    <t>1110 Nguyễn Tất Thành, P.Phú Bài, TX.Hương Thủy, T.Thừa Thiên Huế</t>
  </si>
  <si>
    <t>Số 37 đường Nguyễn Tất Thành, P. Tân Lợi, Tp. Buôn Ma Thuột, Tỉnh Đăk Lăk</t>
  </si>
  <si>
    <t>275 Quang Trung, P.Trần Hưng Đạo, TP Quảng Ngãi, Tỉnh Quảng Ngãi</t>
  </si>
  <si>
    <t>727 Nguyễn Hữu Thọ, Phường Khuê Trung, Quận Cẩm Lệ, Thành phố Đà Nẵng, Việt Nam</t>
  </si>
  <si>
    <t>155 Nguyễn Thái Học, P. 7, TP. Vũng Tàu, T. Bà Rịa - Vũng Tàu</t>
  </si>
  <si>
    <t>18, đường Ngô Quyền, P.02, TP.Cà Mau, Tỉnh Cà Mau</t>
  </si>
  <si>
    <t>241 Trần Hưng Đạo, P. Phú Thủy, Tp. Phan Thiết, Tỉnh Bình Thuận</t>
  </si>
  <si>
    <t>Lô A8, đường Võ Văn Kiệt, P. An Hải Đông, Q. Sơn Trà, TP. Đà Nẵng</t>
  </si>
  <si>
    <t>129 Trần Hưng Đạo, P. Mỹ Phước, Tp. Long Xuyên, T. An Giang</t>
  </si>
  <si>
    <t>172B Đường 3/2, P.Hưng Lợi, Q.Ninh Kiều, TP.Cần Thơ</t>
  </si>
  <si>
    <t>246 Quang Trung, Thị Trấn Ngô Mây, Huyện Phù Cát, Tỉnh Bình Định</t>
  </si>
  <si>
    <t>185  Hùng Vương, P.An Cựu,TP. Huế, Tỉnh Thừa Thiên Huế</t>
  </si>
  <si>
    <t>633-633A-635 Lê Văn Việt, Ấp Cầu Xây, Phường Tân Phú, Thành phố Thủ Đức, Thành phố Hồ Chí Minh, Việt Nam</t>
  </si>
  <si>
    <t>71 Lê Văn Việt, Phường Hiệp Phú, Thành phố Thủ Đức, Thành phố Hồ Chí Minh, Việt Nam</t>
  </si>
  <si>
    <t>01, Trần Hưng Đạo, P. Phú Cường, TP Thủ Dầu Một, Bình Dương</t>
  </si>
  <si>
    <t>67 đường Trần Hưng Đạo, Phường Cầu Ông Lãnh, Quận 1, HCM</t>
  </si>
  <si>
    <t>Shop 10-14 TTTM Big C Quy Nhơn, KĐT Xanh Vũng Chua, P.Ghềnh Ráng, Tp.Quy Nhơn, T.Bình Định,</t>
  </si>
  <si>
    <t>307-309, Võ Văn Ngân, Kp 5, P.Linh Chiểu, Q. Thủ Đức , TPHCM</t>
  </si>
  <si>
    <t>406 Lê Hồng Phong , P.Thắng Tam, TP Vũng TàuTỉnh Bà Rịa Vũng Tàu</t>
  </si>
  <si>
    <t>01 Trần Hưng Đạo, P. Phú Cường, TX. Thủ Dầu Một, Bình Dương</t>
  </si>
  <si>
    <t>292 NGUYỄN XÍ, PHƯỜNG 13, QUẬN BÌNH THẠNH, TP. HỒ CHÍ MINH</t>
  </si>
  <si>
    <t>Số 2 đường 30/4, P. An Phú, Quận Ninh Kiều, TP. Cần Thơ</t>
  </si>
  <si>
    <t>73 đường Tỉnh Lộ 8, KP1, TT Củ Chi, Huyện Củ Chi, Tp.HCM</t>
  </si>
  <si>
    <t>Số 01 Trần Hưng Đạo - Phường Mỹ Bình - TP Long Xuyên - An Giang</t>
  </si>
  <si>
    <t>3 Nguyễn Oanh , P.10, Q.Gò Vấp, TP HCM</t>
  </si>
  <si>
    <t>Số 109, đường Trần Huỳnh, Phường 7, TP. Bạc Liêu, Bạc Liêu</t>
  </si>
  <si>
    <t>855 Quang Trung, Phường 12, Quận Gò Vấp, TP. Hồ Chí Minh</t>
  </si>
  <si>
    <t>46 Điện Biên Phủ - Phường Chính Gián - Quận Thanh Khê - TP. Đà Nẵng - Việt Nam</t>
  </si>
  <si>
    <t>TTTM Green Square, Quốc lộ 1K, P. Đông Hòa, TX Dĩ An, T. Bình Dương</t>
  </si>
  <si>
    <t>833 Xa Lộ Hà Nội, Khu phố 1, Phường Long Bình Tân, Thành phố Biên Hòa, Tỉnh Đồng Nai</t>
  </si>
  <si>
    <t>216 Phan Đăng Lưu, P3, Q. Phú Nhuận , TP.HCM</t>
  </si>
  <si>
    <t>253 Phạm Văn Thuận, Phường Tân Mai, Tỉnh Đồng Nai</t>
  </si>
  <si>
    <t>575A Nguyễn Trung Trực, Phường An Hòa, Rạch Giá, Kiên Giang</t>
  </si>
  <si>
    <t>378 Nguyễn Duy Trinh, Phường Bình Trưng Tây, Quận 02, Thành Phố HCM</t>
  </si>
  <si>
    <t>1 - 2 Hùng Vương, Phường 7, Thành Phố Cà Mau</t>
  </si>
  <si>
    <t>Nguyễn Kim Cà Mau 02</t>
  </si>
  <si>
    <t>Trương Thị Huyền Trinh</t>
  </si>
  <si>
    <t>Cao Phong Q4</t>
  </si>
  <si>
    <t>Cao Phong Tam Kỳ</t>
  </si>
  <si>
    <t>Cao Phong Quận 7 (2)</t>
  </si>
  <si>
    <t>Cao Phong Biên Hòa</t>
  </si>
  <si>
    <t>115 Tây Sơn, Nguyễn Văn Cừ, TP Quy Nhơn, Bình Định</t>
  </si>
  <si>
    <t>F12/23B-E-F Quách Điêu, Ấp 6, Vĩnh Lộc A, Huyện Bình Chánh, TP.HCM</t>
  </si>
  <si>
    <t>171D, Đường Võ Nguyên Giáp, Ấp Bình Thành, Xã Bình Phú, TP Bến Tre</t>
  </si>
  <si>
    <t>100 Phan Đình Phùng, Phường Tây Sơn, Thành phố Pleiku, Gia Lai</t>
  </si>
  <si>
    <t>267 Quốc lộ 13, tổ 18, KP2, Phường Mỹ Phước, TX Bến Cát</t>
  </si>
  <si>
    <t>Số 2A, Đường Nguyễn Oanh, Phường 7, Quận Gò Vấp, Thành phố Hồ Chí Minh, Việt Nam</t>
  </si>
  <si>
    <t>Số 205C, Khu phố 1, đường Phạm Văn Thuận, Phường Tân Tiến, Thành Phố Biên Hòa, Tỉnh Đồng Nai</t>
  </si>
  <si>
    <t>794 Phạm Văn Đồng, Phường Hiệp Bình Chánh, Thành phố Thủ Đức, Thành phố Hồ Chí Minh, Việt Nam</t>
  </si>
  <si>
    <t>01 Bis Tô Ký, P.Tân Chánh Hiệp, Q.12, TP.Hồ Chí Minh</t>
  </si>
  <si>
    <t>874 – 874A, Quốc Lộ 22, KP 8, TT Củ Chi, H.Củ Chi, TP.Hồ Chí Minh</t>
  </si>
  <si>
    <t>Đường Phan Bội Châu, P.Tân Thạnh, TP.Tam Kỳ, T.Quảng Nam</t>
  </si>
  <si>
    <t>Số 2/9 Quốc Lộ 1A, Phường 4, Thị Xã Cai Lậy, Tỉnh Tiền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</si>
</sst>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10000]d/m/yy;@"/>
    <numFmt numFmtId="165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3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30"/>
      <name val="Calibri"/>
      <family val="2"/>
      <scheme val="minor"/>
    </font>
    <font>
      <sz val="10"/>
      <color indexed="36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theme="1"/>
      <name val="Times New Roman"/>
      <family val="2"/>
    </font>
    <font>
      <u/>
      <sz val="10"/>
      <color theme="10"/>
      <name val=".VnTime"/>
      <family val="2"/>
    </font>
    <font>
      <sz val="11"/>
      <color theme="1"/>
      <name val="Calibri"/>
      <family val="2"/>
      <charset val="163"/>
      <scheme val="minor"/>
    </font>
    <font>
      <b/>
      <sz val="20"/>
      <color rgb="FF7030A0"/>
      <name val="Calibri"/>
      <family val="2"/>
      <scheme val="minor"/>
    </font>
    <font>
      <sz val="10"/>
      <name val="Calibri"/>
      <family val="2"/>
      <charset val="163"/>
      <scheme val="minor"/>
    </font>
    <font>
      <b/>
      <sz val="12"/>
      <color theme="8" tint="-0.249977111117893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indexed="56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&quot;Times New Roman&quot;"/>
    </font>
    <font>
      <sz val="12"/>
      <color rgb="FF000000"/>
      <name val="Roboto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4"/>
      <color theme="10"/>
      <name val="Calibri"/>
      <family val="2"/>
      <scheme val="minor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b/>
      <sz val="12"/>
      <color rgb="FFFF0000"/>
      <name val="Cambria"/>
      <family val="1"/>
    </font>
    <font>
      <b/>
      <sz val="12"/>
      <color theme="1"/>
      <name val="Cambria"/>
      <family val="1"/>
    </font>
    <font>
      <sz val="12"/>
      <color rgb="FF333333"/>
      <name val="Cambria"/>
      <family val="1"/>
    </font>
    <font>
      <u/>
      <sz val="12"/>
      <color theme="10"/>
      <name val="Cambria"/>
      <family val="1"/>
    </font>
    <font>
      <sz val="12"/>
      <name val="Cambria"/>
      <family val="1"/>
    </font>
    <font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EA999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11" fillId="0" borderId="0"/>
    <xf numFmtId="0" fontId="1" fillId="0" borderId="0"/>
    <xf numFmtId="0" fontId="12" fillId="0" borderId="3" quotePrefix="1">
      <alignment horizontal="justify" vertical="justify" textRotation="127" wrapText="1" justifyLastLine="1"/>
      <protection hidden="1"/>
    </xf>
    <xf numFmtId="43" fontId="13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 applyNumberFormat="0" applyFill="0" applyBorder="0" applyAlignment="0" applyProtection="0"/>
    <xf numFmtId="0" fontId="12" fillId="0" borderId="0"/>
    <xf numFmtId="0" fontId="14" fillId="0" borderId="0"/>
    <xf numFmtId="0" fontId="15" fillId="0" borderId="0" applyNumberFormat="0" applyFill="0" applyBorder="0" applyAlignment="0" applyProtection="0"/>
    <xf numFmtId="0" fontId="14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5" fillId="0" borderId="0" xfId="10"/>
    <xf numFmtId="0" fontId="11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8" fillId="0" borderId="6" xfId="0" applyFont="1" applyBorder="1" applyAlignment="1">
      <alignment vertical="center" wrapText="1" shrinkToFit="1"/>
    </xf>
    <xf numFmtId="0" fontId="18" fillId="0" borderId="7" xfId="0" applyFont="1" applyBorder="1" applyAlignment="1">
      <alignment vertical="center" wrapText="1" shrinkToFit="1"/>
    </xf>
    <xf numFmtId="0" fontId="18" fillId="0" borderId="8" xfId="0" applyFont="1" applyBorder="1" applyAlignment="1">
      <alignment vertical="center" wrapText="1" shrinkToFit="1"/>
    </xf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9" fillId="0" borderId="1" xfId="10" applyFont="1" applyBorder="1" applyAlignment="1">
      <alignment horizontal="left" vertical="center"/>
    </xf>
    <xf numFmtId="165" fontId="24" fillId="5" borderId="1" xfId="0" applyNumberFormat="1" applyFont="1" applyFill="1" applyBorder="1" applyAlignment="1">
      <alignment horizontal="center"/>
    </xf>
    <xf numFmtId="165" fontId="29" fillId="5" borderId="1" xfId="10" applyNumberFormat="1" applyFont="1" applyFill="1" applyBorder="1" applyAlignment="1">
      <alignment horizontal="left"/>
    </xf>
    <xf numFmtId="0" fontId="25" fillId="9" borderId="1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26" fillId="9" borderId="1" xfId="0" applyFont="1" applyFill="1" applyBorder="1"/>
    <xf numFmtId="0" fontId="30" fillId="6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 wrapText="1"/>
    </xf>
    <xf numFmtId="0" fontId="30" fillId="6" borderId="1" xfId="0" applyFont="1" applyFill="1" applyBorder="1" applyAlignment="1">
      <alignment horizontal="left" wrapText="1"/>
    </xf>
    <xf numFmtId="0" fontId="31" fillId="0" borderId="1" xfId="0" applyFont="1" applyBorder="1" applyAlignment="1">
      <alignment horizontal="left"/>
    </xf>
    <xf numFmtId="165" fontId="30" fillId="6" borderId="1" xfId="0" applyNumberFormat="1" applyFont="1" applyFill="1" applyBorder="1" applyAlignment="1">
      <alignment horizontal="left"/>
    </xf>
    <xf numFmtId="165" fontId="30" fillId="6" borderId="1" xfId="0" applyNumberFormat="1" applyFont="1" applyFill="1" applyBorder="1" applyAlignment="1">
      <alignment horizontal="left" wrapText="1"/>
    </xf>
    <xf numFmtId="14" fontId="30" fillId="6" borderId="1" xfId="0" applyNumberFormat="1" applyFont="1" applyFill="1" applyBorder="1" applyAlignment="1">
      <alignment horizontal="left"/>
    </xf>
    <xf numFmtId="165" fontId="30" fillId="0" borderId="1" xfId="0" applyNumberFormat="1" applyFont="1" applyBorder="1" applyAlignment="1">
      <alignment horizontal="left"/>
    </xf>
    <xf numFmtId="14" fontId="30" fillId="9" borderId="1" xfId="0" applyNumberFormat="1" applyFont="1" applyFill="1" applyBorder="1" applyAlignment="1">
      <alignment horizontal="left"/>
    </xf>
    <xf numFmtId="0" fontId="30" fillId="6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left"/>
    </xf>
    <xf numFmtId="0" fontId="30" fillId="6" borderId="1" xfId="0" applyFont="1" applyFill="1" applyBorder="1" applyAlignment="1">
      <alignment horizontal="left" vertical="center"/>
    </xf>
    <xf numFmtId="0" fontId="36" fillId="0" borderId="1" xfId="10" applyFont="1" applyBorder="1" applyAlignment="1">
      <alignment horizontal="left" vertical="top"/>
    </xf>
    <xf numFmtId="14" fontId="31" fillId="0" borderId="1" xfId="0" applyNumberFormat="1" applyFont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14" fontId="31" fillId="0" borderId="1" xfId="0" applyNumberFormat="1" applyFont="1" applyBorder="1" applyAlignment="1">
      <alignment horizontal="left"/>
    </xf>
    <xf numFmtId="0" fontId="37" fillId="0" borderId="1" xfId="0" applyFont="1" applyBorder="1" applyAlignment="1">
      <alignment horizontal="left" vertical="center"/>
    </xf>
    <xf numFmtId="0" fontId="31" fillId="8" borderId="9" xfId="0" applyFont="1" applyFill="1" applyBorder="1" applyAlignment="1">
      <alignment horizontal="left"/>
    </xf>
    <xf numFmtId="165" fontId="30" fillId="5" borderId="1" xfId="0" applyNumberFormat="1" applyFont="1" applyFill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 vertical="center"/>
    </xf>
    <xf numFmtId="0" fontId="35" fillId="0" borderId="1" xfId="0" applyFont="1" applyBorder="1" applyAlignment="1">
      <alignment horizontal="left"/>
    </xf>
    <xf numFmtId="0" fontId="31" fillId="6" borderId="1" xfId="0" applyFont="1" applyFill="1" applyBorder="1" applyAlignment="1">
      <alignment horizontal="left" vertical="center"/>
    </xf>
    <xf numFmtId="165" fontId="31" fillId="5" borderId="1" xfId="0" applyNumberFormat="1" applyFont="1" applyFill="1" applyBorder="1" applyAlignment="1">
      <alignment horizontal="left"/>
    </xf>
    <xf numFmtId="165" fontId="30" fillId="9" borderId="1" xfId="0" applyNumberFormat="1" applyFont="1" applyFill="1" applyBorder="1" applyAlignment="1">
      <alignment horizontal="left"/>
    </xf>
    <xf numFmtId="165" fontId="31" fillId="9" borderId="1" xfId="0" applyNumberFormat="1" applyFont="1" applyFill="1" applyBorder="1" applyAlignment="1">
      <alignment horizontal="left"/>
    </xf>
    <xf numFmtId="165" fontId="30" fillId="0" borderId="1" xfId="0" applyNumberFormat="1" applyFont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165" fontId="31" fillId="5" borderId="1" xfId="14" applyNumberFormat="1" applyFont="1" applyFill="1" applyBorder="1" applyAlignment="1">
      <alignment horizontal="left" vertical="center" wrapText="1"/>
    </xf>
    <xf numFmtId="0" fontId="27" fillId="6" borderId="1" xfId="0" applyFont="1" applyFill="1" applyBorder="1"/>
    <xf numFmtId="0" fontId="27" fillId="9" borderId="1" xfId="0" applyFont="1" applyFill="1" applyBorder="1"/>
    <xf numFmtId="0" fontId="27" fillId="5" borderId="1" xfId="0" applyFont="1" applyFill="1" applyBorder="1" applyAlignment="1">
      <alignment vertical="center"/>
    </xf>
    <xf numFmtId="165" fontId="28" fillId="5" borderId="1" xfId="14" applyNumberFormat="1" applyFont="1" applyFill="1" applyBorder="1" applyAlignment="1">
      <alignment vertical="center"/>
    </xf>
    <xf numFmtId="14" fontId="28" fillId="0" borderId="1" xfId="0" applyNumberFormat="1" applyFont="1" applyBorder="1" applyAlignment="1">
      <alignment horizontal="left"/>
    </xf>
    <xf numFmtId="0" fontId="27" fillId="11" borderId="1" xfId="0" applyFont="1" applyFill="1" applyBorder="1" applyAlignment="1">
      <alignment vertical="center"/>
    </xf>
    <xf numFmtId="165" fontId="28" fillId="5" borderId="1" xfId="14" applyNumberFormat="1" applyFont="1" applyFill="1" applyBorder="1" applyAlignment="1">
      <alignment vertical="center" wrapText="1"/>
    </xf>
    <xf numFmtId="165" fontId="28" fillId="0" borderId="1" xfId="14" applyNumberFormat="1" applyFont="1" applyFill="1" applyBorder="1" applyAlignment="1">
      <alignment vertical="top" wrapText="1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164" fontId="7" fillId="4" borderId="1" xfId="0" quotePrefix="1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 shrinkToFit="1"/>
    </xf>
    <xf numFmtId="0" fontId="18" fillId="0" borderId="5" xfId="0" applyFont="1" applyBorder="1" applyAlignment="1">
      <alignment horizontal="center" vertical="center" wrapText="1" shrinkToFit="1"/>
    </xf>
    <xf numFmtId="0" fontId="18" fillId="0" borderId="4" xfId="0" applyFont="1" applyBorder="1" applyAlignment="1">
      <alignment horizontal="center" vertical="center" wrapText="1" shrinkToFit="1"/>
    </xf>
    <xf numFmtId="0" fontId="3" fillId="0" borderId="2" xfId="0" quotePrefix="1" applyFont="1" applyBorder="1" applyAlignment="1">
      <alignment horizontal="center" vertical="center" wrapText="1" shrinkToFit="1"/>
    </xf>
    <xf numFmtId="0" fontId="3" fillId="0" borderId="5" xfId="0" quotePrefix="1" applyFont="1" applyBorder="1" applyAlignment="1">
      <alignment horizontal="center" vertical="center" wrapText="1" shrinkToFit="1"/>
    </xf>
    <xf numFmtId="0" fontId="3" fillId="0" borderId="4" xfId="0" quotePrefix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 wrapText="1"/>
    </xf>
    <xf numFmtId="164" fontId="7" fillId="5" borderId="5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64" fontId="7" fillId="5" borderId="2" xfId="0" quotePrefix="1" applyNumberFormat="1" applyFont="1" applyFill="1" applyBorder="1" applyAlignment="1">
      <alignment horizontal="center" vertical="center"/>
    </xf>
    <xf numFmtId="164" fontId="7" fillId="5" borderId="4" xfId="0" quotePrefix="1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3" fillId="0" borderId="7" xfId="0" applyFont="1" applyBorder="1" applyAlignment="1">
      <alignment horizontal="left" vertical="center"/>
    </xf>
    <xf numFmtId="0" fontId="34" fillId="7" borderId="1" xfId="0" applyFont="1" applyFill="1" applyBorder="1" applyAlignment="1">
      <alignment horizontal="left" vertical="center"/>
    </xf>
    <xf numFmtId="0" fontId="34" fillId="7" borderId="9" xfId="0" applyFont="1" applyFill="1" applyBorder="1" applyAlignment="1">
      <alignment horizontal="left" vertical="center"/>
    </xf>
    <xf numFmtId="0" fontId="34" fillId="7" borderId="10" xfId="0" applyFont="1" applyFill="1" applyBorder="1" applyAlignment="1">
      <alignment horizontal="left" vertical="center"/>
    </xf>
    <xf numFmtId="0" fontId="28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28" fillId="5" borderId="1" xfId="0" applyFont="1" applyFill="1" applyBorder="1" applyAlignment="1">
      <alignment vertical="center" wrapText="1"/>
    </xf>
    <xf numFmtId="0" fontId="31" fillId="0" borderId="9" xfId="0" applyFont="1" applyBorder="1" applyAlignment="1">
      <alignment horizontal="left"/>
    </xf>
    <xf numFmtId="0" fontId="30" fillId="6" borderId="9" xfId="0" applyFont="1" applyFill="1" applyBorder="1" applyAlignment="1">
      <alignment horizontal="left"/>
    </xf>
    <xf numFmtId="0" fontId="30" fillId="6" borderId="9" xfId="0" applyFont="1" applyFill="1" applyBorder="1" applyAlignment="1">
      <alignment horizontal="left" wrapText="1"/>
    </xf>
    <xf numFmtId="0" fontId="31" fillId="0" borderId="0" xfId="0" applyFont="1" applyBorder="1" applyAlignment="1">
      <alignment horizontal="left"/>
    </xf>
    <xf numFmtId="0" fontId="38" fillId="5" borderId="4" xfId="0" applyFont="1" applyFill="1" applyBorder="1" applyAlignment="1">
      <alignment vertical="center" wrapText="1"/>
    </xf>
    <xf numFmtId="0" fontId="30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34" fillId="5" borderId="0" xfId="0" applyFont="1" applyFill="1" applyBorder="1" applyAlignment="1">
      <alignment horizontal="left" vertical="center"/>
    </xf>
    <xf numFmtId="0" fontId="31" fillId="5" borderId="0" xfId="0" applyFont="1" applyFill="1" applyBorder="1" applyAlignment="1">
      <alignment horizontal="left"/>
    </xf>
    <xf numFmtId="0" fontId="31" fillId="0" borderId="0" xfId="0" applyFont="1" applyBorder="1" applyAlignment="1">
      <alignment horizontal="left" vertical="center"/>
    </xf>
    <xf numFmtId="0" fontId="0" fillId="0" borderId="0" xfId="0" applyBorder="1"/>
    <xf numFmtId="0" fontId="34" fillId="7" borderId="1" xfId="0" applyFont="1" applyFill="1" applyBorder="1" applyAlignment="1">
      <alignment horizontal="center" vertical="center"/>
    </xf>
    <xf numFmtId="0" fontId="34" fillId="7" borderId="2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/>
    </xf>
    <xf numFmtId="0" fontId="31" fillId="8" borderId="1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10" borderId="0" xfId="0" applyFont="1" applyFill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20" fontId="30" fillId="0" borderId="1" xfId="0" applyNumberFormat="1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12" borderId="1" xfId="0" applyFont="1" applyFill="1" applyBorder="1" applyAlignment="1">
      <alignment horizontal="left" vertical="center"/>
    </xf>
    <xf numFmtId="165" fontId="30" fillId="12" borderId="1" xfId="0" applyNumberFormat="1" applyFont="1" applyFill="1" applyBorder="1" applyAlignment="1">
      <alignment horizontal="left"/>
    </xf>
  </cellXfs>
  <cellStyles count="15">
    <cellStyle name="C:\Data\MS\Excel" xfId="3" xr:uid="{00000000-0005-0000-0000-000000000000}"/>
    <cellStyle name="Comma" xfId="14" builtinId="3"/>
    <cellStyle name="Comma 2 2" xfId="4" xr:uid="{00000000-0005-0000-0000-000001000000}"/>
    <cellStyle name="Hyperlink" xfId="10" builtinId="8"/>
    <cellStyle name="Normal" xfId="0" builtinId="0"/>
    <cellStyle name="Normal 2" xfId="6" xr:uid="{00000000-0005-0000-0000-000004000000}"/>
    <cellStyle name="Normal 2 10 2 2 6" xfId="8" xr:uid="{00000000-0005-0000-0000-000005000000}"/>
    <cellStyle name="Normal 2 2" xfId="9" xr:uid="{00000000-0005-0000-0000-000006000000}"/>
    <cellStyle name="Normal 2 48" xfId="11" xr:uid="{00000000-0005-0000-0000-000007000000}"/>
    <cellStyle name="Normal 22 2 3 3" xfId="13" xr:uid="{00000000-0005-0000-0000-000008000000}"/>
    <cellStyle name="Normal 3" xfId="5" xr:uid="{00000000-0005-0000-0000-000009000000}"/>
    <cellStyle name="Normal 4" xfId="2" xr:uid="{00000000-0005-0000-0000-00000A000000}"/>
    <cellStyle name="Normal 5" xfId="12" xr:uid="{00000000-0005-0000-0000-00000B000000}"/>
    <cellStyle name="Normal 5 2" xfId="1" xr:uid="{00000000-0005-0000-0000-00000C000000}"/>
    <cellStyle name="Normal 50" xfId="7" xr:uid="{00000000-0005-0000-0000-00000D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personal/khoabd_mutosi_com/Documents/Desktop/Mutosi/Danh%20S&#225;ch%20T&#7893;ng%20PG%20-%20MTMN%2017.11.22%20kh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ịch làm việc"/>
      <sheetName val="Danh sách Tổng"/>
      <sheetName val="Sheet2"/>
      <sheetName val="Sheet1"/>
    </sheetNames>
    <sheetDataSet>
      <sheetData sheetId="0" refreshError="1"/>
      <sheetData sheetId="1" refreshError="1">
        <row r="21">
          <cell r="B21" t="str">
            <v>MTS0203196</v>
          </cell>
          <cell r="C21" t="str">
            <v>Nguyễn Hồng Phúc Uyên</v>
          </cell>
          <cell r="D21" t="str">
            <v>Cao Phong Đà Nẵng</v>
          </cell>
          <cell r="E21" t="str">
            <v>Đà Nẵng</v>
          </cell>
          <cell r="F21" t="str">
            <v>Miền Trung</v>
          </cell>
          <cell r="G21" t="str">
            <v>559 Nguyễn Hữu Thọ, Phường Khuê Trung, Quận Cẩm Lệ, TP.Đà Nẵng</v>
          </cell>
          <cell r="H21" t="str">
            <v>Nguyenhongphucuyen@gmail.com</v>
          </cell>
          <cell r="I21" t="str">
            <v>27/02/2021</v>
          </cell>
        </row>
        <row r="22">
          <cell r="B22" t="str">
            <v>MTS0202203</v>
          </cell>
          <cell r="C22" t="str">
            <v>Nguyễn Thanh Thảo</v>
          </cell>
          <cell r="D22" t="str">
            <v>Cao Phong Q5</v>
          </cell>
          <cell r="E22" t="str">
            <v>HCM</v>
          </cell>
          <cell r="F22" t="str">
            <v>Miền Nam</v>
          </cell>
          <cell r="G22" t="str">
            <v>Lô G, Chung Cư Hùng Vương, Phường 11, Quận 5, TP.HCM</v>
          </cell>
          <cell r="H22" t="str">
            <v>chansolntt123@gmail.com</v>
          </cell>
          <cell r="I22">
            <v>44899</v>
          </cell>
        </row>
        <row r="23">
          <cell r="B23" t="str">
            <v>MTS0203756</v>
          </cell>
          <cell r="C23" t="str">
            <v>Trần Phi</v>
          </cell>
          <cell r="D23" t="str">
            <v>Cao Phong Q5-1</v>
          </cell>
          <cell r="E23" t="str">
            <v>HCM</v>
          </cell>
          <cell r="F23" t="str">
            <v>Miền Nam</v>
          </cell>
          <cell r="G23" t="str">
            <v>Lô G, Chung Cư Hùng Vương, Phường 11, Quận 5, TP.HCM</v>
          </cell>
          <cell r="H23" t="str">
            <v>tranphi291007@gmail.com</v>
          </cell>
          <cell r="I23">
            <v>44686</v>
          </cell>
        </row>
        <row r="24">
          <cell r="B24" t="str">
            <v>AGR-MTS-0014</v>
          </cell>
          <cell r="C24" t="str">
            <v>Lê Tiểu My</v>
          </cell>
          <cell r="D24" t="str">
            <v>Cao Phong Q5-GD</v>
          </cell>
          <cell r="E24" t="str">
            <v>HCM</v>
          </cell>
          <cell r="F24" t="str">
            <v>Miền Nam</v>
          </cell>
          <cell r="G24" t="str">
            <v>Lô G, Chung Cư Hùng Vương, Phường 11, Quận 5, TP.HCM</v>
          </cell>
          <cell r="I24">
            <v>44572</v>
          </cell>
        </row>
        <row r="25">
          <cell r="B25" t="str">
            <v>MTS0203673</v>
          </cell>
          <cell r="C25" t="str">
            <v>Trần Thị Như Ý</v>
          </cell>
          <cell r="D25" t="str">
            <v>Cao Phong Tân Phú</v>
          </cell>
          <cell r="E25" t="str">
            <v>HCM</v>
          </cell>
          <cell r="F25" t="str">
            <v>Miền Nam</v>
          </cell>
          <cell r="G25" t="str">
            <v>322-324 Tân Kỳ - Tân Quý, Phường Sơn Kỳ, Quận Tân Phú, TP.HCM</v>
          </cell>
          <cell r="H25" t="str">
            <v>nhuylam2612@gmail.com</v>
          </cell>
          <cell r="I25" t="str">
            <v>17/3/2021</v>
          </cell>
        </row>
        <row r="26">
          <cell r="B26" t="str">
            <v>MTS0203841</v>
          </cell>
          <cell r="C26" t="str">
            <v>Lê Tùng Hiếu</v>
          </cell>
          <cell r="D26" t="str">
            <v>Cao Phong Quận 12</v>
          </cell>
          <cell r="E26" t="str">
            <v>HCM</v>
          </cell>
          <cell r="F26" t="str">
            <v>Miền Nam</v>
          </cell>
          <cell r="G26" t="str">
            <v>189/4 Trường Chinh, Phường Tân Hưng Thuận, Quận 12, TP.HCM</v>
          </cell>
          <cell r="H26" t="str">
            <v>letunghieudell@gmail.com</v>
          </cell>
          <cell r="I26" t="str">
            <v>30/3/2021</v>
          </cell>
        </row>
        <row r="27">
          <cell r="B27" t="str">
            <v>MTS0203246</v>
          </cell>
          <cell r="C27" t="str">
            <v>Hà Thu Huyền</v>
          </cell>
          <cell r="D27" t="str">
            <v>Cao Phong Daklak</v>
          </cell>
          <cell r="E27" t="str">
            <v>Buôn Mê Thuột</v>
          </cell>
          <cell r="F27" t="str">
            <v>Miền Cao Nguyên</v>
          </cell>
          <cell r="G27" t="str">
            <v>31 Nguyễn Tất Thành, Phường Tân Lợi, TP.Buôn Ma Thuột, Đắk Lắk</v>
          </cell>
          <cell r="H27" t="str">
            <v>thuhuyen01061993@gmail.com</v>
          </cell>
          <cell r="I27">
            <v>44287</v>
          </cell>
        </row>
        <row r="28">
          <cell r="B28" t="str">
            <v>MTS0203304</v>
          </cell>
          <cell r="C28" t="str">
            <v>Nguyễn Thị Như Phương</v>
          </cell>
          <cell r="D28" t="str">
            <v>Cao Phong Daklak 2</v>
          </cell>
          <cell r="E28" t="str">
            <v>Buôn Mê Thuột</v>
          </cell>
          <cell r="F28" t="str">
            <v>Miền Trung</v>
          </cell>
          <cell r="G28" t="str">
            <v>31 Nguyễn Tất Thành, Phường Tân Lợi, TP.Buôn Ma Thuột, Đắk Lắk</v>
          </cell>
          <cell r="H28" t="str">
            <v>Phuongnguyen070499@gmai.com</v>
          </cell>
          <cell r="I28">
            <v>44287</v>
          </cell>
        </row>
        <row r="29">
          <cell r="B29" t="str">
            <v>MTS0203245</v>
          </cell>
          <cell r="C29" t="str">
            <v>Đàng Văn Cứ</v>
          </cell>
          <cell r="D29" t="str">
            <v>Cao Phong Quy Nhơn</v>
          </cell>
          <cell r="E29" t="str">
            <v>Quy Nhơn</v>
          </cell>
          <cell r="F29" t="str">
            <v>Miền Trung</v>
          </cell>
          <cell r="G29" t="str">
            <v>Tổ 17, KV4, Nguyễn Thái Học (Khu C Bộ CHQS Tỉnh), Phường Nguyễn Văn Cừ, TP.Quy Nhơn, Bình Định</v>
          </cell>
          <cell r="H29" t="str">
            <v>dangvancu2701@gmail.com</v>
          </cell>
          <cell r="I29">
            <v>44311</v>
          </cell>
        </row>
        <row r="30">
          <cell r="B30" t="str">
            <v>MTS0203293</v>
          </cell>
          <cell r="C30" t="str">
            <v>Huỳnh Thị Thùy Giang</v>
          </cell>
          <cell r="D30" t="str">
            <v>Cao Phong Đà Nẵng 2</v>
          </cell>
          <cell r="E30" t="str">
            <v>Đà Nẵng</v>
          </cell>
          <cell r="F30" t="str">
            <v>Miền Tây</v>
          </cell>
          <cell r="G30" t="str">
            <v>116-118-120-122 Nguyễn Tri Phương, Phường Chính Gián, Quận Thanh Khê, TP.Đà Nẵng</v>
          </cell>
          <cell r="H30" t="str">
            <v>Thuygiang231@gmail.com</v>
          </cell>
          <cell r="I30">
            <v>44311</v>
          </cell>
        </row>
        <row r="31">
          <cell r="B31" t="str">
            <v>MTS0203345</v>
          </cell>
          <cell r="C31" t="str">
            <v>Ngô Bích Nhiên</v>
          </cell>
          <cell r="D31" t="str">
            <v>Cao Phong Cần Thơ</v>
          </cell>
          <cell r="E31" t="str">
            <v>Cần Thơ</v>
          </cell>
          <cell r="F31" t="str">
            <v>Miền Nam</v>
          </cell>
          <cell r="G31" t="str">
            <v>112 Trần Phú, Phường Cái Khế, Quận Ninh Kiều, Tp. Cần Thơ</v>
          </cell>
          <cell r="H31" t="str">
            <v>Nbichnhien2000@gmail.com</v>
          </cell>
          <cell r="I31">
            <v>44315</v>
          </cell>
        </row>
        <row r="32">
          <cell r="B32" t="str">
            <v>MTS0203292</v>
          </cell>
          <cell r="C32" t="str">
            <v>Nguyễn Minh Thy</v>
          </cell>
          <cell r="D32" t="str">
            <v>Cao Phong Cần Thơ 2</v>
          </cell>
          <cell r="E32" t="str">
            <v>Cần Thơ</v>
          </cell>
          <cell r="F32" t="str">
            <v>Miền Nam</v>
          </cell>
          <cell r="G32" t="str">
            <v>162 Đường 3/2, Phường Hưng Lợi, Quận Ninh Kiều, TP.Cần Thơ</v>
          </cell>
          <cell r="H32" t="str">
            <v>Thynguyen0694@gmail.com</v>
          </cell>
          <cell r="I32">
            <v>44311</v>
          </cell>
        </row>
        <row r="33">
          <cell r="B33" t="str">
            <v>MTS0203291</v>
          </cell>
          <cell r="C33" t="str">
            <v>Đặng Trần Trúc Liên</v>
          </cell>
          <cell r="D33" t="str">
            <v>Cao Phong Bình Tân</v>
          </cell>
          <cell r="E33" t="str">
            <v>HCM</v>
          </cell>
          <cell r="F33" t="str">
            <v>Miền Nam</v>
          </cell>
          <cell r="G33" t="str">
            <v>639 Hương Lộ 2, Phường Bình Trị Đông, Quận Bình Tân, TP.HCM</v>
          </cell>
          <cell r="H33" t="str">
            <v>Dangtrantruclien1998@gmail.com</v>
          </cell>
          <cell r="I33">
            <v>44311</v>
          </cell>
        </row>
        <row r="34">
          <cell r="B34" t="str">
            <v>MTS0203324</v>
          </cell>
          <cell r="C34" t="str">
            <v>Nguyễn Diệu Huệ</v>
          </cell>
          <cell r="D34" t="str">
            <v>Cao Phong Bình Tân 2</v>
          </cell>
          <cell r="E34" t="str">
            <v>HCM</v>
          </cell>
          <cell r="F34" t="str">
            <v>Miền Tây</v>
          </cell>
          <cell r="G34" t="str">
            <v>697-699 Kinh Dương Vương, Phường An Lạc, Quận Bình Tân, TP.HCM</v>
          </cell>
          <cell r="H34" t="str">
            <v>Ngdieuhue1992@gmail.com</v>
          </cell>
          <cell r="I34">
            <v>44337</v>
          </cell>
        </row>
        <row r="35">
          <cell r="B35" t="str">
            <v>MTS0203941</v>
          </cell>
          <cell r="C35" t="str">
            <v>Nguyễn Trung Hiếu</v>
          </cell>
          <cell r="D35" t="str">
            <v>Cao Phong Bình Tân 3</v>
          </cell>
          <cell r="E35" t="str">
            <v>HCM</v>
          </cell>
          <cell r="F35" t="str">
            <v>Miền Trung</v>
          </cell>
          <cell r="G35" t="str">
            <v>41-43-45 Nguyễn Thị Tú, Phường Bình Hưng Hòa, Quận Bình Tân, TP.HCM</v>
          </cell>
          <cell r="H35" t="str">
            <v>Ntrunghieu1212@gmail.com</v>
          </cell>
          <cell r="I35">
            <v>44257</v>
          </cell>
        </row>
        <row r="36">
          <cell r="B36" t="str">
            <v>MTS0203294</v>
          </cell>
          <cell r="C36" t="str">
            <v>Trần Minh Trung</v>
          </cell>
          <cell r="D36" t="str">
            <v>Cao Phong Quận 3</v>
          </cell>
          <cell r="E36" t="str">
            <v>HCM</v>
          </cell>
          <cell r="F36" t="str">
            <v>Miền Trung</v>
          </cell>
          <cell r="G36" t="str">
            <v>590 CMT8, Phường 11, Quận 3, TP.HCM</v>
          </cell>
          <cell r="H36" t="str">
            <v>Minhtrungtran1997@gmail.com</v>
          </cell>
          <cell r="I36">
            <v>44318</v>
          </cell>
        </row>
        <row r="37">
          <cell r="B37" t="str">
            <v>MTS0203300</v>
          </cell>
          <cell r="C37" t="str">
            <v>Tô Thị Kim Hiệp</v>
          </cell>
          <cell r="D37" t="str">
            <v>Cao Phong Nha Trang</v>
          </cell>
          <cell r="E37" t="str">
            <v>Khánh Hòa</v>
          </cell>
          <cell r="F37" t="str">
            <v>Miền Tây</v>
          </cell>
          <cell r="G37" t="str">
            <v>Số 212 Đường 23/10, Phường Phương Sơn, TP.Nha Trang, Khánh Hòa</v>
          </cell>
          <cell r="H37" t="str">
            <v>Hiepkim92@gmail.com</v>
          </cell>
          <cell r="I37">
            <v>44378</v>
          </cell>
        </row>
        <row r="38">
          <cell r="B38" t="str">
            <v>MTS0203199</v>
          </cell>
          <cell r="C38" t="str">
            <v>Huỳnh Nguyễn Quỳnh Giao</v>
          </cell>
          <cell r="D38" t="str">
            <v>Cao Phong Đà Nẵng 3.1</v>
          </cell>
          <cell r="E38" t="str">
            <v>Đà Nẵng</v>
          </cell>
          <cell r="F38" t="str">
            <v>Miền Trung</v>
          </cell>
          <cell r="G38" t="str">
            <v>403 Tôn Đức Thắng, Phường Hòa Minh, Quận Liên Chiểu, TP.Đà Nẵng</v>
          </cell>
          <cell r="H38" t="str">
            <v>huynhnguyenquynhgiao17@gmail.com</v>
          </cell>
          <cell r="I38">
            <v>44489</v>
          </cell>
        </row>
        <row r="39">
          <cell r="B39" t="str">
            <v>MTS0303486</v>
          </cell>
          <cell r="C39" t="str">
            <v>Võ Thị Huyền Trinh</v>
          </cell>
          <cell r="D39" t="str">
            <v>Cao Phong Đà Nẵng 3</v>
          </cell>
          <cell r="E39" t="str">
            <v>Đà Nẵng</v>
          </cell>
          <cell r="F39" t="str">
            <v>Miền Trung</v>
          </cell>
          <cell r="G39" t="str">
            <v>18 Quốc Lộ 1A, Ấp Bà Điều, Xã Lý Văn Lâm, TP.Cà Mau</v>
          </cell>
          <cell r="H39" t="str">
            <v>vothihuyentrinh.krh@gmail.com</v>
          </cell>
          <cell r="I39">
            <v>44489</v>
          </cell>
        </row>
        <row r="40">
          <cell r="B40" t="str">
            <v>MTS0203419</v>
          </cell>
          <cell r="C40" t="str">
            <v>Nguyễn Hồng LeL</v>
          </cell>
          <cell r="D40" t="str">
            <v>Cao Phong Cà Mau</v>
          </cell>
          <cell r="E40" t="str">
            <v>Cà Mau</v>
          </cell>
          <cell r="F40" t="str">
            <v>Miền Nam</v>
          </cell>
          <cell r="G40" t="str">
            <v>18 Quốc Lộ 1A, Ấp Bà Điều, Xã Lý Văn Lâm, TP.Cà Mau</v>
          </cell>
          <cell r="H40" t="str">
            <v>nguyenhonglelcm@gmail.com</v>
          </cell>
          <cell r="I40">
            <v>44489</v>
          </cell>
        </row>
        <row r="41">
          <cell r="B41" t="str">
            <v>MTS0203511</v>
          </cell>
          <cell r="C41" t="str">
            <v>Trương Thị Huyền Trinh</v>
          </cell>
          <cell r="D41" t="str">
            <v>Cao Phong Cà Mau 2</v>
          </cell>
          <cell r="E41" t="str">
            <v>Cà Mau</v>
          </cell>
          <cell r="F41" t="str">
            <v>Miền Nam</v>
          </cell>
          <cell r="G41" t="str">
            <v>103-105-107 Lý Thường Kiệt, Phường 6, TP.Cà Mau</v>
          </cell>
          <cell r="H41" t="str">
            <v xml:space="preserve">trinhtth93@gmail.com </v>
          </cell>
          <cell r="I41">
            <v>44489</v>
          </cell>
        </row>
        <row r="42">
          <cell r="B42" t="str">
            <v>MTS0203483</v>
          </cell>
          <cell r="C42" t="str">
            <v>Nguyễn Thị Bắc Ninh</v>
          </cell>
          <cell r="D42" t="str">
            <v>Cao Phong Gò Vấp</v>
          </cell>
          <cell r="E42" t="str">
            <v>HCM</v>
          </cell>
          <cell r="F42" t="str">
            <v>Miền Trung</v>
          </cell>
          <cell r="G42" t="str">
            <v>531 Nguyễn Oanh, Phường 17, Quận Gò Vấp, TP.HCM</v>
          </cell>
          <cell r="H42" t="str">
            <v>nguyenninh22111999@gmail.com</v>
          </cell>
          <cell r="I42">
            <v>44496</v>
          </cell>
        </row>
        <row r="43">
          <cell r="B43" t="str">
            <v>MTS0203948</v>
          </cell>
          <cell r="C43" t="str">
            <v>Lê Quốc Khánh</v>
          </cell>
          <cell r="D43" t="str">
            <v>Cao Phong Gò Vấp 3</v>
          </cell>
          <cell r="E43" t="str">
            <v>HCM</v>
          </cell>
          <cell r="F43" t="str">
            <v>Miền Đông</v>
          </cell>
          <cell r="G43" t="str">
            <v>819 Quang Trung, Phường 12, Quận Gò Vấp, HCM</v>
          </cell>
          <cell r="H43" t="str">
            <v xml:space="preserve">Lequockhanhke@gmail.com </v>
          </cell>
          <cell r="I43">
            <v>44501</v>
          </cell>
        </row>
        <row r="44">
          <cell r="B44" t="str">
            <v>MTS0203937</v>
          </cell>
          <cell r="C44" t="str">
            <v>Âu Thiếu Cường</v>
          </cell>
          <cell r="D44" t="str">
            <v>Cao Phong Quận 4</v>
          </cell>
          <cell r="E44" t="str">
            <v>HCM</v>
          </cell>
          <cell r="F44" t="str">
            <v>Miền Đông</v>
          </cell>
          <cell r="G44" t="str">
            <v>Tòa Nhà H2 - 196 Hoàng Diệu, Phường 8, Quận 4, TP.HCM</v>
          </cell>
          <cell r="H44" t="str">
            <v>authieucuong001@gmail.com</v>
          </cell>
          <cell r="I44">
            <v>44498</v>
          </cell>
        </row>
        <row r="45">
          <cell r="B45" t="str">
            <v>MTS0203481</v>
          </cell>
          <cell r="C45" t="str">
            <v>Phạm Thị Kim Thoa</v>
          </cell>
          <cell r="D45" t="str">
            <v>Cao Phong Phan Rang</v>
          </cell>
          <cell r="E45" t="str">
            <v>Khánh Hòa</v>
          </cell>
          <cell r="F45" t="str">
            <v>Miền Nam</v>
          </cell>
          <cell r="G45" t="str">
            <v>632 Thống Nhất, Phường Đạo Long, TP.Phan Rang-Tháp Chàm, Ninh Thuận</v>
          </cell>
          <cell r="H45" t="str">
            <v>phamthikimthoa090102@gmail.com</v>
          </cell>
          <cell r="I45">
            <v>44498</v>
          </cell>
        </row>
        <row r="46">
          <cell r="B46" t="str">
            <v>MTS0203480</v>
          </cell>
          <cell r="C46" t="str">
            <v>Phạm Thị Thu Mỹ</v>
          </cell>
          <cell r="D46" t="str">
            <v>Cao Phong Quảng Nam</v>
          </cell>
          <cell r="E46" t="str">
            <v>Quảng Nam</v>
          </cell>
          <cell r="F46" t="str">
            <v>Miền Cao Nguyên</v>
          </cell>
          <cell r="G46" t="str">
            <v>832 - 834 Phan Châu Trinh, Phường An Sơn, TP.Tam Kỳ, Quảng Nam</v>
          </cell>
          <cell r="H46" t="str">
            <v>pmy5108@gmail.com</v>
          </cell>
          <cell r="I46">
            <v>44498</v>
          </cell>
        </row>
        <row r="47">
          <cell r="B47" t="str">
            <v>MTS0203513</v>
          </cell>
          <cell r="C47" t="str">
            <v>Lê Thị Uyên Chi</v>
          </cell>
          <cell r="D47" t="str">
            <v>Cao Phong Bà Rịa</v>
          </cell>
          <cell r="E47" t="str">
            <v>Bà Rịa Vũng Tàu</v>
          </cell>
          <cell r="F47" t="str">
            <v>Miền Nam</v>
          </cell>
          <cell r="G47" t="str">
            <v>592 Cách Mạng Tháng 8, Phước Trung, Bà Rịa, Bà Rịa - Vũng Tàu</v>
          </cell>
          <cell r="H47" t="str">
            <v>Uyenchi20121991@gmail.com</v>
          </cell>
          <cell r="I47">
            <v>44501</v>
          </cell>
        </row>
        <row r="48">
          <cell r="B48" t="str">
            <v>MTS0203504</v>
          </cell>
          <cell r="C48" t="str">
            <v>Nguyễn Châu Hồng Diễm</v>
          </cell>
          <cell r="D48" t="str">
            <v>Cao Phong Vũng Tàu</v>
          </cell>
          <cell r="E48" t="str">
            <v>Bà Rịa Vũng Tàu</v>
          </cell>
          <cell r="F48" t="str">
            <v>Miền Tây</v>
          </cell>
          <cell r="G48" t="str">
            <v>504 Nguyễn An Ninh, Phường Nguyễn An Ninh, TP.Vũng Tàu, Bà Rịa - Vũng Tàu</v>
          </cell>
          <cell r="H48" t="str">
            <v>Biebiez7495@gmail.com</v>
          </cell>
          <cell r="I48">
            <v>44501</v>
          </cell>
        </row>
        <row r="49">
          <cell r="B49" t="str">
            <v>MTS0203502</v>
          </cell>
          <cell r="C49" t="str">
            <v>Ngô Thị Mai Trâm</v>
          </cell>
          <cell r="D49" t="str">
            <v>Cao Phong Bình Chánh</v>
          </cell>
          <cell r="E49" t="str">
            <v>HCM</v>
          </cell>
          <cell r="F49" t="str">
            <v>Miền Trung</v>
          </cell>
          <cell r="G49" t="str">
            <v>A8/A2 - A8/3 Quốc Lộ 50, Ấp 2, Xã Bình Hưng, Huyện Bình Chánh, TP.HCM</v>
          </cell>
          <cell r="H49" t="str">
            <v xml:space="preserve">maitram0000@gmail.com </v>
          </cell>
          <cell r="I49">
            <v>44498</v>
          </cell>
        </row>
        <row r="50">
          <cell r="B50" t="str">
            <v>MTS0203506</v>
          </cell>
          <cell r="C50" t="str">
            <v>Nguyễn Thảo Nguyên</v>
          </cell>
          <cell r="D50" t="str">
            <v>Cao Phong Đà Lạt</v>
          </cell>
          <cell r="E50" t="str">
            <v>Lâm Đồng</v>
          </cell>
          <cell r="F50" t="str">
            <v>Miền Trung</v>
          </cell>
          <cell r="G50" t="str">
            <v>Số 17-17bis Đường 3/4, Phường 3, TP.Đà Lạt, Lâm Đồng</v>
          </cell>
          <cell r="H50" t="str">
            <v>Thaonguyen06041@gmail.com</v>
          </cell>
          <cell r="I50">
            <v>44498</v>
          </cell>
        </row>
        <row r="51">
          <cell r="B51" t="str">
            <v>MTS0203925</v>
          </cell>
          <cell r="C51" t="str">
            <v>Huỳnh Thị kim Thủy</v>
          </cell>
          <cell r="D51" t="str">
            <v>Cao Phong Vĩnh Lộc</v>
          </cell>
          <cell r="E51" t="str">
            <v>HCM</v>
          </cell>
          <cell r="F51" t="str">
            <v>Miền Nam</v>
          </cell>
          <cell r="G51" t="str">
            <v>F12/23B-E-F Quách Điêu, Ấp 6, Vĩnh Lộc A, Huyện Bình Chánh, TP.HCM</v>
          </cell>
          <cell r="H51" t="str">
            <v>h.t.k.thuy96@gmail.com</v>
          </cell>
          <cell r="I51">
            <v>44512</v>
          </cell>
        </row>
        <row r="52">
          <cell r="B52" t="str">
            <v>AGR-MTS-0031</v>
          </cell>
          <cell r="C52" t="str">
            <v>Lâm Lệ Thanh</v>
          </cell>
          <cell r="D52" t="str">
            <v>Cao Phong Hóc Môn</v>
          </cell>
          <cell r="E52" t="str">
            <v>HCM</v>
          </cell>
          <cell r="F52" t="str">
            <v>Miền Nam</v>
          </cell>
          <cell r="G52" t="str">
            <v>475 Tô Ký, Ấp Nam Thới, Xã Thới Tam Thôn, Huyện Hóc Môn, TP.HCM</v>
          </cell>
          <cell r="H52" t="str">
            <v>thanhlamle746@gmail.com</v>
          </cell>
        </row>
        <row r="53">
          <cell r="B53" t="str">
            <v>MTS0203512</v>
          </cell>
          <cell r="C53" t="str">
            <v>Nguyễn Thị Thúy Hằng</v>
          </cell>
          <cell r="D53" t="str">
            <v>Cao Phong Bến Tre</v>
          </cell>
          <cell r="E53" t="str">
            <v>Bến Tre</v>
          </cell>
          <cell r="F53" t="str">
            <v>Miền Trung</v>
          </cell>
          <cell r="G53" t="str">
            <v>171D, Đường Võ Nguyên Giáp, Ấp Bình Thành, Xã Bình Phú, TP Bến Tre</v>
          </cell>
          <cell r="H53" t="str">
            <v>Hari.homiq@gmail.com</v>
          </cell>
          <cell r="I53">
            <v>44538</v>
          </cell>
        </row>
        <row r="54">
          <cell r="B54" t="str">
            <v>MTS0303503</v>
          </cell>
          <cell r="C54" t="str">
            <v>Nguyễn Thị Cẩm Ly</v>
          </cell>
          <cell r="D54" t="str">
            <v>Cao Phong Quảng Bình</v>
          </cell>
          <cell r="E54" t="str">
            <v>Quảng Bình</v>
          </cell>
          <cell r="F54" t="str">
            <v>Miền Đông</v>
          </cell>
          <cell r="G54" t="str">
            <v>559B Lý Thường Kiệt, Phường Bắc Lý, TP.Đồng Hới, Quảng Bình</v>
          </cell>
          <cell r="H54" t="str">
            <v>camly1921@gmail.com</v>
          </cell>
          <cell r="I54">
            <v>44538</v>
          </cell>
        </row>
        <row r="55">
          <cell r="B55" t="str">
            <v>MTS0303505</v>
          </cell>
          <cell r="C55" t="str">
            <v>Hoàng Thị Thu Thảo</v>
          </cell>
          <cell r="D55" t="str">
            <v>Cao Phong Quảng Trị</v>
          </cell>
          <cell r="E55" t="str">
            <v>Quảng Trị</v>
          </cell>
          <cell r="F55" t="str">
            <v>Miền Đông</v>
          </cell>
          <cell r="G55" t="str">
            <v>246 Lê Duẩn, Phường Đông Lễ, TP.Đông Hà, Quảng Trị</v>
          </cell>
          <cell r="H55" t="str">
            <v>Thaohoang25101997@gmail.com</v>
          </cell>
          <cell r="I55">
            <v>44267</v>
          </cell>
        </row>
        <row r="56">
          <cell r="B56" t="str">
            <v>MTS0203792</v>
          </cell>
          <cell r="C56" t="str">
            <v>Trần Thị Ngọc Anh</v>
          </cell>
          <cell r="D56" t="str">
            <v>Cao Phong Quận 7-2</v>
          </cell>
          <cell r="E56" t="str">
            <v>HCM</v>
          </cell>
          <cell r="F56" t="str">
            <v>Miền Tây</v>
          </cell>
          <cell r="G56" t="str">
            <v>520 Huỳnh Tấn Phát, Phường Bình Thuận, Quận 7, TP.HCM</v>
          </cell>
          <cell r="H56" t="str">
            <v>ngocanh3012976769@gmail.com</v>
          </cell>
          <cell r="I56">
            <v>44559</v>
          </cell>
        </row>
        <row r="57">
          <cell r="B57" t="str">
            <v>MTS0203226</v>
          </cell>
          <cell r="C57" t="str">
            <v>Trần Thị Thu Lam</v>
          </cell>
          <cell r="D57" t="str">
            <v>Cao Phong Đồng Nai</v>
          </cell>
          <cell r="E57" t="str">
            <v>Đồng Nai</v>
          </cell>
          <cell r="F57" t="str">
            <v>Miền Nam</v>
          </cell>
          <cell r="G57" t="str">
            <v>260B Phạm Văn Thuận, Phường Thống Nhất, TP.Biên Hòa, Đồng Nai</v>
          </cell>
          <cell r="H57" t="str">
            <v>thulam12081997@gmail.com</v>
          </cell>
          <cell r="I57">
            <v>44571</v>
          </cell>
        </row>
        <row r="58">
          <cell r="B58" t="str">
            <v>MTS0203675</v>
          </cell>
          <cell r="C58" t="str">
            <v>Phạm Hoàng Trinh</v>
          </cell>
          <cell r="D58" t="str">
            <v>Cao Phong Đồng Nai-1</v>
          </cell>
          <cell r="E58" t="str">
            <v>Đồng Nai</v>
          </cell>
          <cell r="F58" t="str">
            <v>Miền Nam</v>
          </cell>
          <cell r="G58" t="str">
            <v>260B Phạm Văn Thuận, Phường Thống Nhất, TP.Biên Hòa, Đồng Nai</v>
          </cell>
          <cell r="H58" t="str">
            <v>phamtrinh020997@gmail.com</v>
          </cell>
          <cell r="I58">
            <v>44624</v>
          </cell>
        </row>
        <row r="59">
          <cell r="B59" t="str">
            <v>MTS0203592</v>
          </cell>
          <cell r="C59" t="str">
            <v>Nguyễn Thị Mỹ Hồng</v>
          </cell>
          <cell r="D59" t="str">
            <v>Cao Phong Long Xuyên</v>
          </cell>
          <cell r="E59" t="str">
            <v>An Giang</v>
          </cell>
          <cell r="F59" t="str">
            <v>Miền Trung</v>
          </cell>
          <cell r="G59" t="str">
            <v>151/1 Trần Hưng Đạo, Mỹ Phước, TP.Long Xuyên, An Giang</v>
          </cell>
          <cell r="H59" t="str">
            <v>nguyenthimyhong123vn@gmail.com</v>
          </cell>
          <cell r="I59">
            <v>44697</v>
          </cell>
        </row>
        <row r="60">
          <cell r="B60" t="str">
            <v>MTS0203985</v>
          </cell>
          <cell r="C60" t="str">
            <v>Đinh Mỹ Ngọc</v>
          </cell>
          <cell r="D60" t="str">
            <v>Cao Phong Phan Văn Trị</v>
          </cell>
          <cell r="E60" t="str">
            <v>HCM</v>
          </cell>
          <cell r="F60" t="str">
            <v>Miền Nam</v>
          </cell>
          <cell r="G60" t="str">
            <v>685 Phan Văn Trị, Phường 7, Quận Gò Vấp, TP.HCM</v>
          </cell>
          <cell r="H60" t="str">
            <v>ngocd7547@gmail.com</v>
          </cell>
          <cell r="I60">
            <v>44697</v>
          </cell>
        </row>
        <row r="61">
          <cell r="B61" t="str">
            <v>MTS0203567</v>
          </cell>
          <cell r="C61" t="str">
            <v>Võ Thị Thanh Thanh</v>
          </cell>
          <cell r="D61" t="str">
            <v>Cao Phong Phú Hội</v>
          </cell>
          <cell r="E61" t="str">
            <v>Thừa Thiên Huế</v>
          </cell>
          <cell r="F61" t="str">
            <v>Miền Trung</v>
          </cell>
          <cell r="G61" t="str">
            <v>100 Lê Lợi, Phường Phú Hội, TP.Huế</v>
          </cell>
          <cell r="H61" t="str">
            <v>Thanhvo260796@gmail.com</v>
          </cell>
          <cell r="I61">
            <v>44697</v>
          </cell>
        </row>
        <row r="62">
          <cell r="B62" t="e">
            <v>#N/A</v>
          </cell>
          <cell r="C62" t="str">
            <v>Tuyên lại PG</v>
          </cell>
          <cell r="D62" t="str">
            <v>Cao Phong Thới An</v>
          </cell>
          <cell r="E62" t="str">
            <v>HCM</v>
          </cell>
          <cell r="F62" t="str">
            <v>Miền Nam</v>
          </cell>
          <cell r="G62" t="str">
            <v>612, Lê Văn Khương ,KP 7, Phường Thới An, Quận 12, TP.Hồ Chí Minh</v>
          </cell>
        </row>
        <row r="63">
          <cell r="B63" t="str">
            <v>MTS0203749</v>
          </cell>
          <cell r="C63" t="str">
            <v>Đoàn Thị Mai Loan</v>
          </cell>
          <cell r="D63" t="str">
            <v>Cao Phong Linh Đông</v>
          </cell>
          <cell r="E63" t="str">
            <v>HCM</v>
          </cell>
          <cell r="F63" t="str">
            <v>Miền Tây</v>
          </cell>
          <cell r="G63" t="str">
            <v>523B Kha Vạn Cân, Linh Đông, TP.Thủ Đức</v>
          </cell>
          <cell r="H63" t="str">
            <v>Doanthimailoan1990@gmail.com</v>
          </cell>
        </row>
        <row r="64">
          <cell r="B64" t="str">
            <v>MTS0203751</v>
          </cell>
          <cell r="C64" t="str">
            <v>Lê Thị Minh Nguyệt</v>
          </cell>
          <cell r="D64" t="str">
            <v>Cao Phong Cam Ranh</v>
          </cell>
          <cell r="E64" t="str">
            <v>Khánh Hòa</v>
          </cell>
          <cell r="F64" t="str">
            <v>Miền Tây</v>
          </cell>
          <cell r="G64" t="str">
            <v>1919 Hùng Vương, Phường Cam Phú, TP.Cam Ranh, Khánh Hòa</v>
          </cell>
          <cell r="H64" t="str">
            <v>lethiminhnguyet.questra@gmail.com</v>
          </cell>
        </row>
        <row r="65">
          <cell r="B65" t="str">
            <v>MTS0203923</v>
          </cell>
          <cell r="C65" t="str">
            <v>Trần Kim Ngân</v>
          </cell>
          <cell r="D65" t="str">
            <v>Cao Phong Đồng Tháp</v>
          </cell>
          <cell r="E65" t="str">
            <v>Đồng Tháp</v>
          </cell>
          <cell r="F65" t="str">
            <v>Miền Nam</v>
          </cell>
          <cell r="G65" t="str">
            <v>Khu Dân Cư Chợ Mỹ Trà, Phường Mỹ Phú, TP.Cao Lãnh, Đồng Tháp</v>
          </cell>
          <cell r="H65" t="str">
            <v>kimngantran110@gmail.com</v>
          </cell>
        </row>
        <row r="66">
          <cell r="B66" t="str">
            <v>MTS0203766</v>
          </cell>
          <cell r="C66" t="str">
            <v>Nguyễn Thanh Tuấn</v>
          </cell>
          <cell r="D66" t="str">
            <v>Cao Phong Vĩnh Long</v>
          </cell>
          <cell r="E66" t="str">
            <v>Vĩnh Long</v>
          </cell>
          <cell r="F66" t="str">
            <v>Miền Tây</v>
          </cell>
          <cell r="G66" t="str">
            <v>39 Đường Trần Đại Nghĩa, Phường 4,Tp.Vĩnh Long, Tỉnh Vĩnh Long, Việt Nam(</v>
          </cell>
          <cell r="H66" t="str">
            <v>nguyenthanhtuan.080198@gmail.com</v>
          </cell>
        </row>
        <row r="67">
          <cell r="B67" t="str">
            <v>MTS0203929</v>
          </cell>
          <cell r="C67" t="str">
            <v>Ngô Bá Huy</v>
          </cell>
          <cell r="D67" t="str">
            <v>Cao Phong Long Điền</v>
          </cell>
          <cell r="E67" t="str">
            <v>Bà Rịa Vũng Tàu</v>
          </cell>
          <cell r="F67" t="str">
            <v>Miền Đông</v>
          </cell>
          <cell r="G67" t="str">
            <v>Ấp Lò Vôi - Cảng, Phước Tỉnh, Long Điền, Bà Rịa - Vũng Tàu</v>
          </cell>
          <cell r="H67" t="str">
            <v>huy96810@gmail.com</v>
          </cell>
        </row>
        <row r="68">
          <cell r="B68" t="str">
            <v>MTS0203921</v>
          </cell>
          <cell r="C68" t="str">
            <v>Võ Tuyết Nhi</v>
          </cell>
          <cell r="D68" t="str">
            <v>Cao Phong Sadec</v>
          </cell>
          <cell r="E68" t="str">
            <v>Đồng Tháp</v>
          </cell>
          <cell r="F68" t="str">
            <v>Miền Tây</v>
          </cell>
          <cell r="G68" t="str">
            <v>393 Nguyễn Sinh Sắc, P2, TP.Sa Đéc, Đồng Tháp</v>
          </cell>
          <cell r="H68" t="str">
            <v>Votuyetnhi20092000@gmail.com</v>
          </cell>
        </row>
        <row r="69">
          <cell r="B69" t="str">
            <v>MTS0203992</v>
          </cell>
          <cell r="C69" t="str">
            <v>Phạm Hồng khoa</v>
          </cell>
          <cell r="D69" t="str">
            <v>Cao Phong Thủ Đức</v>
          </cell>
          <cell r="E69" t="str">
            <v>HCM</v>
          </cell>
          <cell r="F69" t="str">
            <v>Miền Nam</v>
          </cell>
          <cell r="G69" t="str">
            <v>Tầng Hầm B1 GiGa Mall, 240-242 Phạm Văn Đồng, Phường Hiệp Bình Chánh, TP.Thủ Đức</v>
          </cell>
          <cell r="H69" t="str">
            <v>Phamhongkhoa.lge@gmail.com</v>
          </cell>
        </row>
        <row r="70">
          <cell r="B70" t="str">
            <v>MTS0203750</v>
          </cell>
          <cell r="C70" t="str">
            <v>Nguyễn Tông Hằng</v>
          </cell>
          <cell r="D70" t="str">
            <v>Cao Phong Nha Trang 3</v>
          </cell>
          <cell r="E70" t="str">
            <v>Khánh Hòa</v>
          </cell>
          <cell r="F70" t="str">
            <v>Miền Đông</v>
          </cell>
          <cell r="G70" t="str">
            <v>1200 Lê Hồng Phong, P. Phước Long, TP. Nha Trang, Tỉnh Khánh Hòa</v>
          </cell>
          <cell r="H70" t="str">
            <v>Nguyenhang250690@gmail.com</v>
          </cell>
        </row>
        <row r="71">
          <cell r="B71" t="str">
            <v>MTS0203986</v>
          </cell>
          <cell r="C71" t="str">
            <v>Trịnh Thị hoa</v>
          </cell>
          <cell r="D71" t="str">
            <v>Cao Phong Tây Ninh</v>
          </cell>
          <cell r="E71" t="str">
            <v>Tây Ninh</v>
          </cell>
          <cell r="F71" t="str">
            <v>Miền Đông</v>
          </cell>
          <cell r="G71" t="str">
            <v>Tầng Hầm B1 GiGa Mall, 240-242 Phạm Văn Đồng, Phường Hiệp Bình Chánh, TP.Thủ Đức</v>
          </cell>
          <cell r="H71" t="str">
            <v>hoa.Trinhnk@gmail.com</v>
          </cell>
        </row>
        <row r="72">
          <cell r="B72" t="str">
            <v>AGR-MTS-0032</v>
          </cell>
          <cell r="C72" t="str">
            <v>Trần Thị Thu</v>
          </cell>
          <cell r="D72" t="str">
            <v>Cao Phong Bảo Lộc</v>
          </cell>
          <cell r="E72" t="str">
            <v>Lâm Đồng</v>
          </cell>
          <cell r="F72" t="str">
            <v>Miền Cao Nguyên</v>
          </cell>
          <cell r="G72" t="str">
            <v>Tầng Hầm B1 GiGa Mall, 240-242 Phạm Văn Đồng, Phường Hiệp Bình Chánh, TP.Thủ Đức</v>
          </cell>
          <cell r="H72" t="str">
            <v>thutran24392@gmail.com</v>
          </cell>
        </row>
        <row r="73">
          <cell r="B73" t="str">
            <v>MTS0303999</v>
          </cell>
          <cell r="C73" t="str">
            <v>Nguyễn Thị Kim Thảo</v>
          </cell>
          <cell r="D73" t="str">
            <v>Cao Phong Phú Yên</v>
          </cell>
          <cell r="E73" t="str">
            <v>Phú Yên</v>
          </cell>
          <cell r="F73" t="str">
            <v>Miền Trung</v>
          </cell>
          <cell r="G73" t="str">
            <v>Tầng Hầm B1 GiGa Mall, 240-242 Phạm Văn Đồng, Phường Hiệp Bình Chánh, TP.Thủ Đức</v>
          </cell>
          <cell r="H73" t="str">
            <v>kimthaonguyenthi987@gmail.com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nhanbro777@gmail.com" TargetMode="External"/><Relationship Id="rId13" Type="http://schemas.openxmlformats.org/officeDocument/2006/relationships/hyperlink" Target="mailto:Thaonguyenmanager248@gmail.com" TargetMode="External"/><Relationship Id="rId3" Type="http://schemas.openxmlformats.org/officeDocument/2006/relationships/hyperlink" Target="mailto:camnhung.py@gmail.com" TargetMode="External"/><Relationship Id="rId7" Type="http://schemas.openxmlformats.org/officeDocument/2006/relationships/hyperlink" Target="mailto:Mimap280200@gmail.com" TargetMode="External"/><Relationship Id="rId12" Type="http://schemas.openxmlformats.org/officeDocument/2006/relationships/hyperlink" Target="mailto:tranvinhthuanst@gmail.com" TargetMode="External"/><Relationship Id="rId2" Type="http://schemas.openxmlformats.org/officeDocument/2006/relationships/hyperlink" Target="mailto:camnhung.py@gmail.com" TargetMode="External"/><Relationship Id="rId1" Type="http://schemas.openxmlformats.org/officeDocument/2006/relationships/hyperlink" Target="mailto:hannahle18081999@gmail.com" TargetMode="External"/><Relationship Id="rId6" Type="http://schemas.openxmlformats.org/officeDocument/2006/relationships/hyperlink" Target="mailto:1993.Email.phinhuongnguyen@gmail.com" TargetMode="External"/><Relationship Id="rId11" Type="http://schemas.openxmlformats.org/officeDocument/2006/relationships/hyperlink" Target="mailto:dangthicam1309@gmail.com" TargetMode="External"/><Relationship Id="rId5" Type="http://schemas.openxmlformats.org/officeDocument/2006/relationships/hyperlink" Target="mailto:oanh.pipi16@gmail.com" TargetMode="External"/><Relationship Id="rId10" Type="http://schemas.openxmlformats.org/officeDocument/2006/relationships/hyperlink" Target="mailto:vothikieu90@gmail.com" TargetMode="External"/><Relationship Id="rId4" Type="http://schemas.openxmlformats.org/officeDocument/2006/relationships/hyperlink" Target="mailto:kieuoanh94223@gmail.com" TargetMode="External"/><Relationship Id="rId9" Type="http://schemas.openxmlformats.org/officeDocument/2006/relationships/hyperlink" Target="mailto:ngoviet199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"/>
  <sheetViews>
    <sheetView tabSelected="1" zoomScale="55" zoomScaleNormal="55" workbookViewId="0">
      <selection activeCell="AA16" sqref="AA16:AE16"/>
    </sheetView>
  </sheetViews>
  <sheetFormatPr defaultColWidth="8.81640625" defaultRowHeight="14.5"/>
  <cols>
    <col min="6" max="6" width="12.453125" customWidth="1"/>
    <col min="7" max="8" width="4.453125" customWidth="1"/>
    <col min="9" max="9" width="7.36328125" customWidth="1"/>
    <col min="10" max="10" width="4.453125" customWidth="1"/>
    <col min="11" max="11" width="6.81640625" customWidth="1"/>
  </cols>
  <sheetData>
    <row r="1" spans="1:42" ht="26">
      <c r="A1" s="98" t="s">
        <v>39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1"/>
    </row>
    <row r="3" spans="1:42" s="17" customFormat="1" ht="14">
      <c r="A3" s="18" t="s">
        <v>74</v>
      </c>
      <c r="B3" s="19"/>
      <c r="C3" s="19"/>
      <c r="J3" s="18"/>
      <c r="K3" s="19"/>
      <c r="L3" s="18" t="s">
        <v>0</v>
      </c>
    </row>
    <row r="4" spans="1:42" s="17" customFormat="1" ht="14">
      <c r="A4" s="20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</row>
    <row r="5" spans="1:42" s="17" customFormat="1" ht="14">
      <c r="A5" s="20"/>
      <c r="B5" s="20" t="s">
        <v>35</v>
      </c>
      <c r="C5" s="20"/>
      <c r="D5" s="20"/>
      <c r="E5" s="20"/>
      <c r="F5" s="20" t="s">
        <v>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 t="s">
        <v>3</v>
      </c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7" spans="1:42">
      <c r="A7" s="99" t="s">
        <v>4</v>
      </c>
      <c r="B7" s="99"/>
      <c r="C7" s="99" t="s">
        <v>5</v>
      </c>
      <c r="D7" s="99"/>
      <c r="E7" s="99"/>
      <c r="F7" s="8" t="s">
        <v>6</v>
      </c>
      <c r="G7" s="99" t="s">
        <v>7</v>
      </c>
      <c r="H7" s="99"/>
      <c r="I7" s="99"/>
      <c r="J7" s="99"/>
      <c r="K7" s="99"/>
      <c r="L7" s="99" t="s">
        <v>8</v>
      </c>
      <c r="M7" s="99"/>
      <c r="N7" s="99"/>
      <c r="O7" s="99"/>
      <c r="P7" s="99"/>
      <c r="Q7" s="99" t="s">
        <v>9</v>
      </c>
      <c r="R7" s="99"/>
      <c r="S7" s="99"/>
      <c r="T7" s="99"/>
      <c r="U7" s="99"/>
      <c r="V7" s="99" t="s">
        <v>10</v>
      </c>
      <c r="W7" s="99"/>
      <c r="X7" s="99"/>
      <c r="Y7" s="99"/>
      <c r="Z7" s="99"/>
      <c r="AA7" s="99" t="s">
        <v>11</v>
      </c>
      <c r="AB7" s="99"/>
      <c r="AC7" s="99"/>
      <c r="AD7" s="99"/>
      <c r="AE7" s="99"/>
      <c r="AF7" s="99" t="s">
        <v>12</v>
      </c>
      <c r="AG7" s="99"/>
      <c r="AH7" s="99"/>
      <c r="AI7" s="99"/>
      <c r="AJ7" s="99"/>
      <c r="AK7" s="99" t="s">
        <v>13</v>
      </c>
      <c r="AL7" s="99"/>
      <c r="AM7" s="99"/>
      <c r="AN7" s="99"/>
      <c r="AO7" s="99"/>
    </row>
    <row r="8" spans="1:42">
      <c r="A8" s="84" t="s">
        <v>14</v>
      </c>
      <c r="B8" s="84"/>
      <c r="C8" s="92" t="s">
        <v>15</v>
      </c>
      <c r="D8" s="93"/>
      <c r="E8" s="93"/>
      <c r="F8" s="7" t="s">
        <v>16</v>
      </c>
      <c r="G8" s="94"/>
      <c r="H8" s="95"/>
      <c r="I8" s="96"/>
      <c r="J8" s="97"/>
      <c r="K8" s="97"/>
      <c r="L8" s="76"/>
      <c r="M8" s="77"/>
      <c r="N8" s="86"/>
      <c r="O8" s="87"/>
      <c r="P8" s="88"/>
      <c r="Q8" s="76"/>
      <c r="R8" s="77"/>
      <c r="S8" s="86"/>
      <c r="T8" s="87"/>
      <c r="U8" s="88"/>
      <c r="V8" s="76" t="s">
        <v>40</v>
      </c>
      <c r="W8" s="77">
        <v>44410</v>
      </c>
      <c r="X8" s="89" t="s">
        <v>17</v>
      </c>
      <c r="Y8" s="90"/>
      <c r="Z8" s="91"/>
      <c r="AA8" s="76" t="s">
        <v>41</v>
      </c>
      <c r="AB8" s="77">
        <v>44410</v>
      </c>
      <c r="AC8" s="89" t="s">
        <v>17</v>
      </c>
      <c r="AD8" s="90"/>
      <c r="AE8" s="91"/>
      <c r="AF8" s="76" t="s">
        <v>42</v>
      </c>
      <c r="AG8" s="77">
        <v>44410</v>
      </c>
      <c r="AH8" s="75" t="s">
        <v>17</v>
      </c>
      <c r="AI8" s="75"/>
      <c r="AJ8" s="75"/>
      <c r="AK8" s="76" t="s">
        <v>43</v>
      </c>
      <c r="AL8" s="77">
        <v>44410</v>
      </c>
      <c r="AM8" s="85"/>
      <c r="AN8" s="85"/>
      <c r="AO8" s="85"/>
      <c r="AP8" s="2"/>
    </row>
    <row r="9" spans="1:42" ht="14.5" customHeight="1">
      <c r="A9" s="84"/>
      <c r="B9" s="84"/>
      <c r="C9" s="93"/>
      <c r="D9" s="93"/>
      <c r="E9" s="93"/>
      <c r="F9" s="7" t="s">
        <v>18</v>
      </c>
      <c r="G9" s="71"/>
      <c r="H9" s="71"/>
      <c r="I9" s="71"/>
      <c r="J9" s="71"/>
      <c r="K9" s="71"/>
      <c r="L9" s="78"/>
      <c r="M9" s="79"/>
      <c r="N9" s="79"/>
      <c r="O9" s="79"/>
      <c r="P9" s="80"/>
      <c r="Q9" s="78"/>
      <c r="R9" s="79"/>
      <c r="S9" s="79"/>
      <c r="T9" s="79"/>
      <c r="U9" s="80"/>
      <c r="V9" s="78" t="s">
        <v>76</v>
      </c>
      <c r="W9" s="79"/>
      <c r="X9" s="79"/>
      <c r="Y9" s="79"/>
      <c r="Z9" s="80"/>
      <c r="AA9" s="78" t="s">
        <v>77</v>
      </c>
      <c r="AB9" s="79"/>
      <c r="AC9" s="79"/>
      <c r="AD9" s="79"/>
      <c r="AE9" s="80"/>
      <c r="AF9" s="70" t="s">
        <v>78</v>
      </c>
      <c r="AG9" s="70"/>
      <c r="AH9" s="70"/>
      <c r="AI9" s="70"/>
      <c r="AJ9" s="70"/>
      <c r="AK9" s="70"/>
      <c r="AL9" s="70"/>
      <c r="AM9" s="70"/>
      <c r="AN9" s="70"/>
      <c r="AO9" s="70"/>
    </row>
    <row r="10" spans="1:42" ht="46.5" customHeight="1">
      <c r="A10" s="84"/>
      <c r="B10" s="84"/>
      <c r="C10" s="93"/>
      <c r="D10" s="93"/>
      <c r="E10" s="93"/>
      <c r="F10" s="7" t="s">
        <v>20</v>
      </c>
      <c r="G10" s="100"/>
      <c r="H10" s="71"/>
      <c r="I10" s="71"/>
      <c r="J10" s="71"/>
      <c r="K10" s="71"/>
      <c r="L10" s="78"/>
      <c r="M10" s="79"/>
      <c r="N10" s="79"/>
      <c r="O10" s="79"/>
      <c r="P10" s="80"/>
      <c r="Q10" s="78"/>
      <c r="R10" s="79"/>
      <c r="S10" s="79"/>
      <c r="T10" s="79"/>
      <c r="U10" s="80"/>
      <c r="V10" s="78" t="s">
        <v>21</v>
      </c>
      <c r="W10" s="79"/>
      <c r="X10" s="79"/>
      <c r="Y10" s="79"/>
      <c r="Z10" s="80"/>
      <c r="AA10" s="78" t="s">
        <v>21</v>
      </c>
      <c r="AB10" s="79"/>
      <c r="AC10" s="79"/>
      <c r="AD10" s="79"/>
      <c r="AE10" s="80"/>
      <c r="AF10" s="70" t="s">
        <v>21</v>
      </c>
      <c r="AG10" s="70"/>
      <c r="AH10" s="70"/>
      <c r="AI10" s="70"/>
      <c r="AJ10" s="70"/>
      <c r="AK10" s="70" t="s">
        <v>38</v>
      </c>
      <c r="AL10" s="70"/>
      <c r="AM10" s="70"/>
      <c r="AN10" s="70"/>
      <c r="AO10" s="70"/>
    </row>
    <row r="11" spans="1:42">
      <c r="A11" s="84"/>
      <c r="B11" s="84"/>
      <c r="C11" s="93"/>
      <c r="D11" s="93"/>
      <c r="E11" s="93"/>
      <c r="F11" s="7" t="s">
        <v>22</v>
      </c>
      <c r="G11" s="71"/>
      <c r="H11" s="71"/>
      <c r="I11" s="71"/>
      <c r="J11" s="71"/>
      <c r="K11" s="71"/>
      <c r="L11" s="72"/>
      <c r="M11" s="73"/>
      <c r="N11" s="73"/>
      <c r="O11" s="73"/>
      <c r="P11" s="74"/>
      <c r="Q11" s="72"/>
      <c r="R11" s="73"/>
      <c r="S11" s="73"/>
      <c r="T11" s="73"/>
      <c r="U11" s="74"/>
      <c r="V11" s="72" t="s">
        <v>24</v>
      </c>
      <c r="W11" s="73"/>
      <c r="X11" s="73"/>
      <c r="Y11" s="73"/>
      <c r="Z11" s="74"/>
      <c r="AA11" s="72" t="s">
        <v>24</v>
      </c>
      <c r="AB11" s="73"/>
      <c r="AC11" s="73"/>
      <c r="AD11" s="73"/>
      <c r="AE11" s="74"/>
      <c r="AF11" s="71" t="s">
        <v>24</v>
      </c>
      <c r="AG11" s="71"/>
      <c r="AH11" s="71"/>
      <c r="AI11" s="71"/>
      <c r="AJ11" s="71"/>
      <c r="AK11" s="71"/>
      <c r="AL11" s="71"/>
      <c r="AM11" s="71"/>
      <c r="AN11" s="71"/>
      <c r="AO11" s="71"/>
    </row>
    <row r="12" spans="1:42">
      <c r="A12" s="84"/>
      <c r="B12" s="84"/>
      <c r="C12" s="93"/>
      <c r="D12" s="93"/>
      <c r="E12" s="93"/>
      <c r="F12" s="7" t="s">
        <v>25</v>
      </c>
      <c r="G12" s="71"/>
      <c r="H12" s="71"/>
      <c r="I12" s="71"/>
      <c r="J12" s="71"/>
      <c r="K12" s="71"/>
      <c r="L12" s="72"/>
      <c r="M12" s="73"/>
      <c r="N12" s="73"/>
      <c r="O12" s="73"/>
      <c r="P12" s="74"/>
      <c r="Q12" s="72"/>
      <c r="R12" s="73"/>
      <c r="S12" s="73"/>
      <c r="T12" s="73"/>
      <c r="U12" s="74"/>
      <c r="V12" s="72" t="s">
        <v>26</v>
      </c>
      <c r="W12" s="73"/>
      <c r="X12" s="73"/>
      <c r="Y12" s="73"/>
      <c r="Z12" s="74"/>
      <c r="AA12" s="14"/>
      <c r="AB12" s="15"/>
      <c r="AC12" s="15"/>
      <c r="AD12" s="15"/>
      <c r="AE12" s="16"/>
      <c r="AF12" s="14"/>
      <c r="AG12" s="15"/>
      <c r="AH12" s="15"/>
      <c r="AI12" s="15"/>
      <c r="AJ12" s="16"/>
      <c r="AK12" s="71"/>
      <c r="AL12" s="71"/>
      <c r="AM12" s="71"/>
      <c r="AN12" s="71"/>
      <c r="AO12" s="71"/>
    </row>
    <row r="13" spans="1:42" ht="15.5">
      <c r="A13" s="84"/>
      <c r="B13" s="84"/>
      <c r="C13" s="93"/>
      <c r="D13" s="93"/>
      <c r="E13" s="93"/>
      <c r="F13" s="7" t="s">
        <v>27</v>
      </c>
      <c r="G13" s="72"/>
      <c r="H13" s="73"/>
      <c r="I13" s="73"/>
      <c r="J13" s="73"/>
      <c r="K13" s="74"/>
      <c r="L13" s="11"/>
      <c r="M13" s="12"/>
      <c r="N13" s="12"/>
      <c r="O13" s="12"/>
      <c r="P13" s="13"/>
      <c r="Q13" s="101"/>
      <c r="R13" s="101"/>
      <c r="S13" s="101"/>
      <c r="T13" s="101"/>
      <c r="U13" s="101"/>
      <c r="V13" s="11"/>
      <c r="W13" s="12"/>
      <c r="X13" s="12"/>
      <c r="Y13" s="12"/>
      <c r="Z13" s="13"/>
      <c r="AA13" s="11"/>
      <c r="AB13" s="12"/>
      <c r="AC13" s="12"/>
      <c r="AD13" s="12"/>
      <c r="AE13" s="13"/>
      <c r="AF13" s="11"/>
      <c r="AG13" s="12"/>
      <c r="AH13" s="12"/>
      <c r="AI13" s="12"/>
      <c r="AJ13" s="13"/>
      <c r="AK13" s="71"/>
      <c r="AL13" s="71"/>
      <c r="AM13" s="71"/>
      <c r="AN13" s="71"/>
      <c r="AO13" s="71"/>
    </row>
    <row r="14" spans="1:42">
      <c r="A14" s="84" t="s">
        <v>28</v>
      </c>
      <c r="B14" s="84"/>
      <c r="C14" s="92" t="s">
        <v>15</v>
      </c>
      <c r="D14" s="93"/>
      <c r="E14" s="93"/>
      <c r="F14" s="7" t="s">
        <v>16</v>
      </c>
      <c r="G14" s="76" t="s">
        <v>44</v>
      </c>
      <c r="H14" s="77">
        <v>44410</v>
      </c>
      <c r="I14" s="75"/>
      <c r="J14" s="75"/>
      <c r="K14" s="75"/>
      <c r="L14" s="76" t="s">
        <v>45</v>
      </c>
      <c r="M14" s="77">
        <v>44410</v>
      </c>
      <c r="N14" s="75" t="s">
        <v>17</v>
      </c>
      <c r="O14" s="75"/>
      <c r="P14" s="75"/>
      <c r="Q14" s="76" t="s">
        <v>46</v>
      </c>
      <c r="R14" s="77">
        <v>44410</v>
      </c>
      <c r="S14" s="75" t="s">
        <v>17</v>
      </c>
      <c r="T14" s="75"/>
      <c r="U14" s="75"/>
      <c r="V14" s="76" t="s">
        <v>47</v>
      </c>
      <c r="W14" s="77">
        <v>44410</v>
      </c>
      <c r="X14" s="75" t="s">
        <v>17</v>
      </c>
      <c r="Y14" s="75"/>
      <c r="Z14" s="75"/>
      <c r="AA14" s="76" t="s">
        <v>48</v>
      </c>
      <c r="AB14" s="77">
        <v>44410</v>
      </c>
      <c r="AC14" s="75" t="s">
        <v>17</v>
      </c>
      <c r="AD14" s="75"/>
      <c r="AE14" s="75"/>
      <c r="AF14" s="76" t="s">
        <v>49</v>
      </c>
      <c r="AG14" s="77">
        <v>44410</v>
      </c>
      <c r="AH14" s="75" t="s">
        <v>17</v>
      </c>
      <c r="AI14" s="75"/>
      <c r="AJ14" s="75"/>
      <c r="AK14" s="76" t="s">
        <v>50</v>
      </c>
      <c r="AL14" s="77">
        <v>44410</v>
      </c>
      <c r="AM14" s="75"/>
      <c r="AN14" s="75"/>
      <c r="AO14" s="75"/>
      <c r="AP14" s="2"/>
    </row>
    <row r="15" spans="1:42" ht="14.5" customHeight="1">
      <c r="A15" s="84"/>
      <c r="B15" s="84"/>
      <c r="C15" s="93"/>
      <c r="D15" s="93"/>
      <c r="E15" s="93"/>
      <c r="F15" s="7" t="s">
        <v>18</v>
      </c>
      <c r="G15" s="72" t="s">
        <v>19</v>
      </c>
      <c r="H15" s="73"/>
      <c r="I15" s="73"/>
      <c r="J15" s="73"/>
      <c r="K15" s="74"/>
      <c r="L15" s="70" t="s">
        <v>36</v>
      </c>
      <c r="M15" s="70"/>
      <c r="N15" s="70"/>
      <c r="O15" s="70"/>
      <c r="P15" s="70"/>
      <c r="Q15" s="70" t="s">
        <v>79</v>
      </c>
      <c r="R15" s="70"/>
      <c r="S15" s="70"/>
      <c r="T15" s="70"/>
      <c r="U15" s="70"/>
      <c r="V15" s="70" t="s">
        <v>80</v>
      </c>
      <c r="W15" s="70"/>
      <c r="X15" s="70"/>
      <c r="Y15" s="70"/>
      <c r="Z15" s="70"/>
      <c r="AA15" s="70" t="s">
        <v>81</v>
      </c>
      <c r="AB15" s="70"/>
      <c r="AC15" s="70"/>
      <c r="AD15" s="70"/>
      <c r="AE15" s="70"/>
      <c r="AF15" s="70" t="s">
        <v>82</v>
      </c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2" ht="52.5" customHeight="1">
      <c r="A16" s="84"/>
      <c r="B16" s="84"/>
      <c r="C16" s="93"/>
      <c r="D16" s="93"/>
      <c r="E16" s="93"/>
      <c r="F16" s="7" t="s">
        <v>20</v>
      </c>
      <c r="G16" s="81" t="s">
        <v>29</v>
      </c>
      <c r="H16" s="82"/>
      <c r="I16" s="82"/>
      <c r="J16" s="82"/>
      <c r="K16" s="83"/>
      <c r="L16" s="71" t="s">
        <v>75</v>
      </c>
      <c r="M16" s="70"/>
      <c r="N16" s="70"/>
      <c r="O16" s="70"/>
      <c r="P16" s="70"/>
      <c r="Q16" s="71" t="s">
        <v>90</v>
      </c>
      <c r="R16" s="70"/>
      <c r="S16" s="70"/>
      <c r="T16" s="70"/>
      <c r="U16" s="70"/>
      <c r="V16" s="71" t="s">
        <v>91</v>
      </c>
      <c r="W16" s="70"/>
      <c r="X16" s="70"/>
      <c r="Y16" s="70"/>
      <c r="Z16" s="70"/>
      <c r="AA16" s="70" t="s">
        <v>21</v>
      </c>
      <c r="AB16" s="70"/>
      <c r="AC16" s="70"/>
      <c r="AD16" s="70"/>
      <c r="AE16" s="70"/>
      <c r="AF16" s="70" t="s">
        <v>21</v>
      </c>
      <c r="AG16" s="70"/>
      <c r="AH16" s="70"/>
      <c r="AI16" s="70"/>
      <c r="AJ16" s="70"/>
      <c r="AK16" s="70" t="s">
        <v>38</v>
      </c>
      <c r="AL16" s="70"/>
      <c r="AM16" s="70"/>
      <c r="AN16" s="70"/>
      <c r="AO16" s="70"/>
    </row>
    <row r="17" spans="1:41" ht="14.5" customHeight="1">
      <c r="A17" s="84"/>
      <c r="B17" s="84"/>
      <c r="C17" s="93"/>
      <c r="D17" s="93"/>
      <c r="E17" s="93"/>
      <c r="F17" s="7" t="s">
        <v>22</v>
      </c>
      <c r="G17" s="72" t="s">
        <v>23</v>
      </c>
      <c r="H17" s="73"/>
      <c r="I17" s="73"/>
      <c r="J17" s="73"/>
      <c r="K17" s="74"/>
      <c r="L17" s="71" t="s">
        <v>37</v>
      </c>
      <c r="M17" s="71"/>
      <c r="N17" s="71"/>
      <c r="O17" s="71"/>
      <c r="P17" s="71"/>
      <c r="Q17" s="72" t="s">
        <v>24</v>
      </c>
      <c r="R17" s="73"/>
      <c r="S17" s="73"/>
      <c r="T17" s="73"/>
      <c r="U17" s="74"/>
      <c r="V17" s="71" t="s">
        <v>24</v>
      </c>
      <c r="W17" s="71"/>
      <c r="X17" s="71"/>
      <c r="Y17" s="71"/>
      <c r="Z17" s="71"/>
      <c r="AA17" s="71" t="s">
        <v>24</v>
      </c>
      <c r="AB17" s="71"/>
      <c r="AC17" s="71"/>
      <c r="AD17" s="71"/>
      <c r="AE17" s="71"/>
      <c r="AF17" s="71" t="s">
        <v>24</v>
      </c>
      <c r="AG17" s="71"/>
      <c r="AH17" s="71"/>
      <c r="AI17" s="71"/>
      <c r="AJ17" s="71"/>
      <c r="AK17" s="71"/>
      <c r="AL17" s="71"/>
      <c r="AM17" s="71"/>
      <c r="AN17" s="71"/>
      <c r="AO17" s="71"/>
    </row>
    <row r="18" spans="1:41">
      <c r="A18" s="84"/>
      <c r="B18" s="84"/>
      <c r="C18" s="93"/>
      <c r="D18" s="93"/>
      <c r="E18" s="93"/>
      <c r="F18" s="7" t="s">
        <v>25</v>
      </c>
      <c r="G18" s="72"/>
      <c r="H18" s="73"/>
      <c r="I18" s="73"/>
      <c r="J18" s="73"/>
      <c r="K18" s="74"/>
      <c r="L18" s="71"/>
      <c r="M18" s="71"/>
      <c r="N18" s="71"/>
      <c r="O18" s="71"/>
      <c r="P18" s="71"/>
      <c r="Q18" s="71" t="s">
        <v>26</v>
      </c>
      <c r="R18" s="71"/>
      <c r="S18" s="71"/>
      <c r="T18" s="71"/>
      <c r="U18" s="71"/>
      <c r="V18" s="71" t="s">
        <v>26</v>
      </c>
      <c r="W18" s="71"/>
      <c r="X18" s="71"/>
      <c r="Y18" s="71"/>
      <c r="Z18" s="71"/>
      <c r="AA18" s="71" t="s">
        <v>26</v>
      </c>
      <c r="AB18" s="71"/>
      <c r="AC18" s="71"/>
      <c r="AD18" s="71"/>
      <c r="AE18" s="71"/>
      <c r="AF18" s="71" t="s">
        <v>26</v>
      </c>
      <c r="AG18" s="71"/>
      <c r="AH18" s="71"/>
      <c r="AI18" s="71"/>
      <c r="AJ18" s="71"/>
      <c r="AK18" s="71"/>
      <c r="AL18" s="71"/>
      <c r="AM18" s="71"/>
      <c r="AN18" s="71"/>
      <c r="AO18" s="71"/>
    </row>
    <row r="19" spans="1:41" ht="15.5">
      <c r="A19" s="84"/>
      <c r="B19" s="84"/>
      <c r="C19" s="93"/>
      <c r="D19" s="93"/>
      <c r="E19" s="93"/>
      <c r="F19" s="7" t="s">
        <v>27</v>
      </c>
      <c r="G19" s="72"/>
      <c r="H19" s="73"/>
      <c r="I19" s="73"/>
      <c r="J19" s="73"/>
      <c r="K19" s="74"/>
      <c r="L19" s="11"/>
      <c r="M19" s="12"/>
      <c r="N19" s="12"/>
      <c r="O19" s="12"/>
      <c r="P19" s="13"/>
      <c r="Q19" s="101"/>
      <c r="R19" s="101"/>
      <c r="S19" s="101"/>
      <c r="T19" s="101"/>
      <c r="U19" s="101"/>
      <c r="V19" s="11"/>
      <c r="W19" s="12"/>
      <c r="X19" s="12"/>
      <c r="Y19" s="12"/>
      <c r="Z19" s="13"/>
      <c r="AA19" s="11"/>
      <c r="AB19" s="12"/>
      <c r="AC19" s="12"/>
      <c r="AD19" s="12"/>
      <c r="AE19" s="13"/>
      <c r="AF19" s="11"/>
      <c r="AG19" s="12"/>
      <c r="AH19" s="12"/>
      <c r="AI19" s="12"/>
      <c r="AJ19" s="13"/>
      <c r="AK19" s="71"/>
      <c r="AL19" s="71"/>
      <c r="AM19" s="71"/>
      <c r="AN19" s="71"/>
      <c r="AO19" s="71"/>
    </row>
    <row r="20" spans="1:41">
      <c r="A20" s="84" t="s">
        <v>30</v>
      </c>
      <c r="B20" s="84"/>
      <c r="C20" s="92" t="s">
        <v>15</v>
      </c>
      <c r="D20" s="93"/>
      <c r="E20" s="93"/>
      <c r="F20" s="7" t="s">
        <v>16</v>
      </c>
      <c r="G20" s="76" t="s">
        <v>51</v>
      </c>
      <c r="H20" s="77">
        <v>44410</v>
      </c>
      <c r="I20" s="75"/>
      <c r="J20" s="75"/>
      <c r="K20" s="75"/>
      <c r="L20" s="76" t="s">
        <v>52</v>
      </c>
      <c r="M20" s="77">
        <v>44410</v>
      </c>
      <c r="N20" s="75" t="s">
        <v>17</v>
      </c>
      <c r="O20" s="75"/>
      <c r="P20" s="75"/>
      <c r="Q20" s="76" t="s">
        <v>53</v>
      </c>
      <c r="R20" s="77">
        <v>44410</v>
      </c>
      <c r="S20" s="75" t="s">
        <v>17</v>
      </c>
      <c r="T20" s="75"/>
      <c r="U20" s="75"/>
      <c r="V20" s="76" t="s">
        <v>54</v>
      </c>
      <c r="W20" s="77">
        <v>44410</v>
      </c>
      <c r="X20" s="75" t="s">
        <v>17</v>
      </c>
      <c r="Y20" s="75"/>
      <c r="Z20" s="75"/>
      <c r="AA20" s="76" t="s">
        <v>55</v>
      </c>
      <c r="AB20" s="77">
        <v>44410</v>
      </c>
      <c r="AC20" s="75" t="s">
        <v>17</v>
      </c>
      <c r="AD20" s="75"/>
      <c r="AE20" s="75"/>
      <c r="AF20" s="76" t="s">
        <v>56</v>
      </c>
      <c r="AG20" s="77">
        <v>44410</v>
      </c>
      <c r="AH20" s="75" t="s">
        <v>17</v>
      </c>
      <c r="AI20" s="75"/>
      <c r="AJ20" s="75"/>
      <c r="AK20" s="76" t="s">
        <v>57</v>
      </c>
      <c r="AL20" s="77">
        <v>44410</v>
      </c>
      <c r="AM20" s="75"/>
      <c r="AN20" s="75"/>
      <c r="AO20" s="75"/>
    </row>
    <row r="21" spans="1:41" ht="14.5" customHeight="1">
      <c r="A21" s="84"/>
      <c r="B21" s="84"/>
      <c r="C21" s="93"/>
      <c r="D21" s="93"/>
      <c r="E21" s="93"/>
      <c r="F21" s="7" t="s">
        <v>18</v>
      </c>
      <c r="G21" s="72" t="s">
        <v>19</v>
      </c>
      <c r="H21" s="73"/>
      <c r="I21" s="73"/>
      <c r="J21" s="73"/>
      <c r="K21" s="74"/>
      <c r="L21" s="70" t="s">
        <v>92</v>
      </c>
      <c r="M21" s="70"/>
      <c r="N21" s="70"/>
      <c r="O21" s="70"/>
      <c r="P21" s="70"/>
      <c r="Q21" s="70" t="s">
        <v>92</v>
      </c>
      <c r="R21" s="70"/>
      <c r="S21" s="70"/>
      <c r="T21" s="70"/>
      <c r="U21" s="70"/>
      <c r="V21" s="70" t="s">
        <v>92</v>
      </c>
      <c r="W21" s="70"/>
      <c r="X21" s="70"/>
      <c r="Y21" s="70"/>
      <c r="Z21" s="70"/>
      <c r="AA21" s="70" t="s">
        <v>92</v>
      </c>
      <c r="AB21" s="70"/>
      <c r="AC21" s="70"/>
      <c r="AD21" s="70"/>
      <c r="AE21" s="70"/>
      <c r="AF21" s="70" t="s">
        <v>92</v>
      </c>
      <c r="AG21" s="70"/>
      <c r="AH21" s="70"/>
      <c r="AI21" s="70"/>
      <c r="AJ21" s="70"/>
      <c r="AK21" s="70"/>
      <c r="AL21" s="70"/>
      <c r="AM21" s="70"/>
      <c r="AN21" s="70"/>
      <c r="AO21" s="70"/>
    </row>
    <row r="22" spans="1:41" ht="53.25" customHeight="1">
      <c r="A22" s="84"/>
      <c r="B22" s="84"/>
      <c r="C22" s="93"/>
      <c r="D22" s="93"/>
      <c r="E22" s="93"/>
      <c r="F22" s="7" t="s">
        <v>20</v>
      </c>
      <c r="G22" s="81" t="s">
        <v>29</v>
      </c>
      <c r="H22" s="82"/>
      <c r="I22" s="82"/>
      <c r="J22" s="82"/>
      <c r="K22" s="83"/>
      <c r="L22" s="71" t="s">
        <v>71</v>
      </c>
      <c r="M22" s="70"/>
      <c r="N22" s="70"/>
      <c r="O22" s="70"/>
      <c r="P22" s="70"/>
      <c r="Q22" s="71" t="s">
        <v>71</v>
      </c>
      <c r="R22" s="70"/>
      <c r="S22" s="70"/>
      <c r="T22" s="70"/>
      <c r="U22" s="70"/>
      <c r="V22" s="71" t="s">
        <v>71</v>
      </c>
      <c r="W22" s="70"/>
      <c r="X22" s="70"/>
      <c r="Y22" s="70"/>
      <c r="Z22" s="70"/>
      <c r="AA22" s="71" t="s">
        <v>71</v>
      </c>
      <c r="AB22" s="70"/>
      <c r="AC22" s="70"/>
      <c r="AD22" s="70"/>
      <c r="AE22" s="70"/>
      <c r="AF22" s="71" t="s">
        <v>71</v>
      </c>
      <c r="AG22" s="70"/>
      <c r="AH22" s="70"/>
      <c r="AI22" s="70"/>
      <c r="AJ22" s="70"/>
      <c r="AK22" s="70" t="s">
        <v>38</v>
      </c>
      <c r="AL22" s="70"/>
      <c r="AM22" s="70"/>
      <c r="AN22" s="70"/>
      <c r="AO22" s="70"/>
    </row>
    <row r="23" spans="1:41" ht="26.25" customHeight="1">
      <c r="A23" s="84"/>
      <c r="B23" s="84"/>
      <c r="C23" s="93"/>
      <c r="D23" s="93"/>
      <c r="E23" s="93"/>
      <c r="F23" s="7" t="s">
        <v>22</v>
      </c>
      <c r="G23" s="72" t="s">
        <v>23</v>
      </c>
      <c r="H23" s="73"/>
      <c r="I23" s="73"/>
      <c r="J23" s="73"/>
      <c r="K23" s="74"/>
      <c r="L23" s="71" t="s">
        <v>72</v>
      </c>
      <c r="M23" s="71"/>
      <c r="N23" s="71"/>
      <c r="O23" s="71"/>
      <c r="P23" s="71"/>
      <c r="Q23" s="71" t="s">
        <v>72</v>
      </c>
      <c r="R23" s="71"/>
      <c r="S23" s="71"/>
      <c r="T23" s="71"/>
      <c r="U23" s="71"/>
      <c r="V23" s="71" t="s">
        <v>72</v>
      </c>
      <c r="W23" s="71"/>
      <c r="X23" s="71"/>
      <c r="Y23" s="71"/>
      <c r="Z23" s="71"/>
      <c r="AA23" s="71" t="s">
        <v>72</v>
      </c>
      <c r="AB23" s="71"/>
      <c r="AC23" s="71"/>
      <c r="AD23" s="71"/>
      <c r="AE23" s="71"/>
      <c r="AF23" s="71" t="s">
        <v>72</v>
      </c>
      <c r="AG23" s="71"/>
      <c r="AH23" s="71"/>
      <c r="AI23" s="71"/>
      <c r="AJ23" s="71"/>
      <c r="AK23" s="71"/>
      <c r="AL23" s="71"/>
      <c r="AM23" s="71"/>
      <c r="AN23" s="71"/>
      <c r="AO23" s="71"/>
    </row>
    <row r="24" spans="1:41">
      <c r="A24" s="84"/>
      <c r="B24" s="84"/>
      <c r="C24" s="93"/>
      <c r="D24" s="93"/>
      <c r="E24" s="93"/>
      <c r="F24" s="7" t="s">
        <v>25</v>
      </c>
      <c r="G24" s="72"/>
      <c r="H24" s="73"/>
      <c r="I24" s="73"/>
      <c r="J24" s="73"/>
      <c r="K24" s="74"/>
      <c r="L24" s="71" t="s">
        <v>73</v>
      </c>
      <c r="M24" s="71"/>
      <c r="N24" s="71"/>
      <c r="O24" s="71"/>
      <c r="P24" s="71"/>
      <c r="Q24" s="71" t="s">
        <v>73</v>
      </c>
      <c r="R24" s="71"/>
      <c r="S24" s="71"/>
      <c r="T24" s="71"/>
      <c r="U24" s="71"/>
      <c r="V24" s="71" t="s">
        <v>73</v>
      </c>
      <c r="W24" s="71"/>
      <c r="X24" s="71"/>
      <c r="Y24" s="71"/>
      <c r="Z24" s="71"/>
      <c r="AA24" s="71" t="s">
        <v>73</v>
      </c>
      <c r="AB24" s="71"/>
      <c r="AC24" s="71"/>
      <c r="AD24" s="71"/>
      <c r="AE24" s="71"/>
      <c r="AF24" s="71" t="s">
        <v>73</v>
      </c>
      <c r="AG24" s="71"/>
      <c r="AH24" s="71"/>
      <c r="AI24" s="71"/>
      <c r="AJ24" s="71"/>
      <c r="AK24" s="71"/>
      <c r="AL24" s="71"/>
      <c r="AM24" s="71"/>
      <c r="AN24" s="71"/>
      <c r="AO24" s="71"/>
    </row>
    <row r="25" spans="1:41" ht="15.5">
      <c r="A25" s="84"/>
      <c r="B25" s="84"/>
      <c r="C25" s="93"/>
      <c r="D25" s="93"/>
      <c r="E25" s="93"/>
      <c r="F25" s="7" t="s">
        <v>27</v>
      </c>
      <c r="G25" s="72"/>
      <c r="H25" s="73"/>
      <c r="I25" s="73"/>
      <c r="J25" s="73"/>
      <c r="K25" s="74"/>
      <c r="L25" s="102"/>
      <c r="M25" s="103"/>
      <c r="N25" s="103"/>
      <c r="O25" s="103"/>
      <c r="P25" s="104"/>
      <c r="Q25" s="67"/>
      <c r="R25" s="68"/>
      <c r="S25" s="68"/>
      <c r="T25" s="68"/>
      <c r="U25" s="69"/>
      <c r="V25" s="67"/>
      <c r="W25" s="68"/>
      <c r="X25" s="68"/>
      <c r="Y25" s="68"/>
      <c r="Z25" s="69"/>
      <c r="AA25" s="67"/>
      <c r="AB25" s="68"/>
      <c r="AC25" s="68"/>
      <c r="AD25" s="68"/>
      <c r="AE25" s="69"/>
      <c r="AF25" s="67"/>
      <c r="AG25" s="68"/>
      <c r="AH25" s="68"/>
      <c r="AI25" s="68"/>
      <c r="AJ25" s="69"/>
      <c r="AK25" s="71"/>
      <c r="AL25" s="71"/>
      <c r="AM25" s="71"/>
      <c r="AN25" s="71"/>
      <c r="AO25" s="71"/>
    </row>
    <row r="26" spans="1:41">
      <c r="A26" s="84" t="s">
        <v>31</v>
      </c>
      <c r="B26" s="84"/>
      <c r="C26" s="92" t="s">
        <v>15</v>
      </c>
      <c r="D26" s="93"/>
      <c r="E26" s="93"/>
      <c r="F26" s="7" t="s">
        <v>16</v>
      </c>
      <c r="G26" s="76" t="s">
        <v>58</v>
      </c>
      <c r="H26" s="77">
        <v>44410</v>
      </c>
      <c r="I26" s="75"/>
      <c r="J26" s="75"/>
      <c r="K26" s="75"/>
      <c r="L26" s="76" t="s">
        <v>59</v>
      </c>
      <c r="M26" s="77">
        <v>44410</v>
      </c>
      <c r="N26" s="75" t="s">
        <v>17</v>
      </c>
      <c r="O26" s="75"/>
      <c r="P26" s="75"/>
      <c r="Q26" s="76" t="s">
        <v>60</v>
      </c>
      <c r="R26" s="77">
        <v>44410</v>
      </c>
      <c r="S26" s="75" t="s">
        <v>17</v>
      </c>
      <c r="T26" s="75"/>
      <c r="U26" s="75"/>
      <c r="V26" s="76" t="s">
        <v>61</v>
      </c>
      <c r="W26" s="77">
        <v>44410</v>
      </c>
      <c r="X26" s="75" t="s">
        <v>17</v>
      </c>
      <c r="Y26" s="75"/>
      <c r="Z26" s="75"/>
      <c r="AA26" s="76" t="s">
        <v>62</v>
      </c>
      <c r="AB26" s="77">
        <v>44410</v>
      </c>
      <c r="AC26" s="75" t="s">
        <v>17</v>
      </c>
      <c r="AD26" s="75"/>
      <c r="AE26" s="75"/>
      <c r="AF26" s="76" t="s">
        <v>63</v>
      </c>
      <c r="AG26" s="77">
        <v>44410</v>
      </c>
      <c r="AH26" s="75" t="s">
        <v>17</v>
      </c>
      <c r="AI26" s="75"/>
      <c r="AJ26" s="75"/>
      <c r="AK26" s="76" t="s">
        <v>64</v>
      </c>
      <c r="AL26" s="77">
        <v>44410</v>
      </c>
      <c r="AM26" s="75"/>
      <c r="AN26" s="75"/>
      <c r="AO26" s="75"/>
    </row>
    <row r="27" spans="1:41" ht="35.25" customHeight="1">
      <c r="A27" s="84"/>
      <c r="B27" s="84"/>
      <c r="C27" s="93"/>
      <c r="D27" s="93"/>
      <c r="E27" s="93"/>
      <c r="F27" s="7" t="s">
        <v>18</v>
      </c>
      <c r="G27" s="71" t="s">
        <v>19</v>
      </c>
      <c r="H27" s="71"/>
      <c r="I27" s="71"/>
      <c r="J27" s="71"/>
      <c r="K27" s="71"/>
      <c r="L27" s="70" t="s">
        <v>83</v>
      </c>
      <c r="M27" s="70"/>
      <c r="N27" s="70"/>
      <c r="O27" s="70"/>
      <c r="P27" s="70"/>
      <c r="Q27" s="78" t="s">
        <v>77</v>
      </c>
      <c r="R27" s="79"/>
      <c r="S27" s="79"/>
      <c r="T27" s="79"/>
      <c r="U27" s="80"/>
      <c r="V27" s="70" t="s">
        <v>84</v>
      </c>
      <c r="W27" s="70"/>
      <c r="X27" s="70"/>
      <c r="Y27" s="70"/>
      <c r="Z27" s="70"/>
      <c r="AA27" s="70" t="s">
        <v>85</v>
      </c>
      <c r="AB27" s="70"/>
      <c r="AC27" s="70"/>
      <c r="AD27" s="70"/>
      <c r="AE27" s="70"/>
      <c r="AF27" s="70" t="s">
        <v>76</v>
      </c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47.25" customHeight="1">
      <c r="A28" s="84"/>
      <c r="B28" s="84"/>
      <c r="C28" s="93"/>
      <c r="D28" s="93"/>
      <c r="E28" s="93"/>
      <c r="F28" s="7" t="s">
        <v>20</v>
      </c>
      <c r="G28" s="81" t="s">
        <v>29</v>
      </c>
      <c r="H28" s="82"/>
      <c r="I28" s="82"/>
      <c r="J28" s="82"/>
      <c r="K28" s="83"/>
      <c r="L28" s="70" t="s">
        <v>21</v>
      </c>
      <c r="M28" s="70"/>
      <c r="N28" s="70"/>
      <c r="O28" s="70"/>
      <c r="P28" s="70"/>
      <c r="Q28" s="78" t="s">
        <v>21</v>
      </c>
      <c r="R28" s="79"/>
      <c r="S28" s="79"/>
      <c r="T28" s="79"/>
      <c r="U28" s="80"/>
      <c r="V28" s="70" t="s">
        <v>21</v>
      </c>
      <c r="W28" s="70"/>
      <c r="X28" s="70"/>
      <c r="Y28" s="70"/>
      <c r="Z28" s="70"/>
      <c r="AA28" s="70" t="s">
        <v>21</v>
      </c>
      <c r="AB28" s="70"/>
      <c r="AC28" s="70"/>
      <c r="AD28" s="70"/>
      <c r="AE28" s="70"/>
      <c r="AF28" s="70" t="s">
        <v>21</v>
      </c>
      <c r="AG28" s="70"/>
      <c r="AH28" s="70"/>
      <c r="AI28" s="70"/>
      <c r="AJ28" s="70"/>
      <c r="AK28" s="70" t="s">
        <v>38</v>
      </c>
      <c r="AL28" s="70"/>
      <c r="AM28" s="70"/>
      <c r="AN28" s="70"/>
      <c r="AO28" s="70"/>
    </row>
    <row r="29" spans="1:41">
      <c r="A29" s="84"/>
      <c r="B29" s="84"/>
      <c r="C29" s="93"/>
      <c r="D29" s="93"/>
      <c r="E29" s="93"/>
      <c r="F29" s="7" t="s">
        <v>22</v>
      </c>
      <c r="G29" s="71" t="s">
        <v>23</v>
      </c>
      <c r="H29" s="71"/>
      <c r="I29" s="71"/>
      <c r="J29" s="71"/>
      <c r="K29" s="71"/>
      <c r="L29" s="72" t="s">
        <v>24</v>
      </c>
      <c r="M29" s="73"/>
      <c r="N29" s="73"/>
      <c r="O29" s="73"/>
      <c r="P29" s="74"/>
      <c r="Q29" s="71" t="s">
        <v>24</v>
      </c>
      <c r="R29" s="71"/>
      <c r="S29" s="71"/>
      <c r="T29" s="71"/>
      <c r="U29" s="71"/>
      <c r="V29" s="71" t="s">
        <v>24</v>
      </c>
      <c r="W29" s="71"/>
      <c r="X29" s="71"/>
      <c r="Y29" s="71"/>
      <c r="Z29" s="71"/>
      <c r="AA29" s="71" t="s">
        <v>24</v>
      </c>
      <c r="AB29" s="71"/>
      <c r="AC29" s="71"/>
      <c r="AD29" s="71"/>
      <c r="AE29" s="71"/>
      <c r="AF29" s="71" t="s">
        <v>24</v>
      </c>
      <c r="AG29" s="71"/>
      <c r="AH29" s="71"/>
      <c r="AI29" s="71"/>
      <c r="AJ29" s="71"/>
      <c r="AK29" s="71"/>
      <c r="AL29" s="71"/>
      <c r="AM29" s="71"/>
      <c r="AN29" s="71"/>
      <c r="AO29" s="71"/>
    </row>
    <row r="30" spans="1:41" ht="14.5" customHeight="1">
      <c r="A30" s="84"/>
      <c r="B30" s="84"/>
      <c r="C30" s="93"/>
      <c r="D30" s="93"/>
      <c r="E30" s="93"/>
      <c r="F30" s="7" t="s">
        <v>25</v>
      </c>
      <c r="G30" s="71"/>
      <c r="H30" s="71"/>
      <c r="I30" s="71"/>
      <c r="J30" s="71"/>
      <c r="K30" s="71"/>
      <c r="L30" s="71" t="s">
        <v>26</v>
      </c>
      <c r="M30" s="71"/>
      <c r="N30" s="71"/>
      <c r="O30" s="71"/>
      <c r="P30" s="71"/>
      <c r="Q30" s="71" t="s">
        <v>26</v>
      </c>
      <c r="R30" s="71"/>
      <c r="S30" s="71"/>
      <c r="T30" s="71"/>
      <c r="U30" s="71"/>
      <c r="V30" s="71" t="s">
        <v>26</v>
      </c>
      <c r="W30" s="71"/>
      <c r="X30" s="71"/>
      <c r="Y30" s="71"/>
      <c r="Z30" s="71"/>
      <c r="AA30" s="71" t="s">
        <v>26</v>
      </c>
      <c r="AB30" s="71"/>
      <c r="AC30" s="71"/>
      <c r="AD30" s="71"/>
      <c r="AE30" s="71"/>
      <c r="AF30" s="71" t="s">
        <v>26</v>
      </c>
      <c r="AG30" s="71"/>
      <c r="AH30" s="71"/>
      <c r="AI30" s="71"/>
      <c r="AJ30" s="71"/>
      <c r="AK30" s="71"/>
      <c r="AL30" s="71"/>
      <c r="AM30" s="71"/>
      <c r="AN30" s="71"/>
      <c r="AO30" s="71"/>
    </row>
    <row r="31" spans="1:41" ht="15.5">
      <c r="A31" s="84"/>
      <c r="B31" s="84"/>
      <c r="C31" s="93"/>
      <c r="D31" s="93"/>
      <c r="E31" s="93"/>
      <c r="F31" s="7" t="s">
        <v>27</v>
      </c>
      <c r="G31" s="71"/>
      <c r="H31" s="71"/>
      <c r="I31" s="71"/>
      <c r="J31" s="71"/>
      <c r="K31" s="71"/>
      <c r="L31" s="67"/>
      <c r="M31" s="68"/>
      <c r="N31" s="68"/>
      <c r="O31" s="68"/>
      <c r="P31" s="69"/>
      <c r="Q31" s="67"/>
      <c r="R31" s="68"/>
      <c r="S31" s="68"/>
      <c r="T31" s="68"/>
      <c r="U31" s="69"/>
      <c r="V31" s="67"/>
      <c r="W31" s="68"/>
      <c r="X31" s="68"/>
      <c r="Y31" s="68"/>
      <c r="Z31" s="69"/>
      <c r="AA31" s="11"/>
      <c r="AB31" s="12"/>
      <c r="AC31" s="12"/>
      <c r="AD31" s="12"/>
      <c r="AE31" s="13"/>
      <c r="AF31" s="11"/>
      <c r="AG31" s="12"/>
      <c r="AH31" s="12"/>
      <c r="AI31" s="12"/>
      <c r="AJ31" s="13"/>
      <c r="AK31" s="71"/>
      <c r="AL31" s="71"/>
      <c r="AM31" s="71"/>
      <c r="AN31" s="71"/>
      <c r="AO31" s="71"/>
    </row>
    <row r="32" spans="1:41">
      <c r="A32" s="84" t="s">
        <v>32</v>
      </c>
      <c r="B32" s="84"/>
      <c r="C32" s="92" t="s">
        <v>15</v>
      </c>
      <c r="D32" s="93"/>
      <c r="E32" s="93"/>
      <c r="F32" s="7" t="s">
        <v>16</v>
      </c>
      <c r="G32" s="76" t="s">
        <v>65</v>
      </c>
      <c r="H32" s="77">
        <v>44410</v>
      </c>
      <c r="I32" s="75"/>
      <c r="J32" s="75"/>
      <c r="K32" s="75"/>
      <c r="L32" s="76" t="s">
        <v>66</v>
      </c>
      <c r="M32" s="77">
        <v>44410</v>
      </c>
      <c r="N32" s="75" t="s">
        <v>17</v>
      </c>
      <c r="O32" s="75"/>
      <c r="P32" s="75"/>
      <c r="Q32" s="76" t="s">
        <v>67</v>
      </c>
      <c r="R32" s="77">
        <v>44410</v>
      </c>
      <c r="S32" s="75" t="s">
        <v>17</v>
      </c>
      <c r="T32" s="75"/>
      <c r="U32" s="75"/>
      <c r="V32" s="76" t="s">
        <v>68</v>
      </c>
      <c r="W32" s="77">
        <v>44410</v>
      </c>
      <c r="X32" s="75"/>
      <c r="Y32" s="75"/>
      <c r="Z32" s="75"/>
      <c r="AA32" s="76" t="s">
        <v>69</v>
      </c>
      <c r="AB32" s="77">
        <v>44410</v>
      </c>
      <c r="AC32" s="75"/>
      <c r="AD32" s="75"/>
      <c r="AE32" s="75"/>
      <c r="AF32" s="76" t="s">
        <v>70</v>
      </c>
      <c r="AG32" s="77">
        <v>44410</v>
      </c>
      <c r="AH32" s="75"/>
      <c r="AI32" s="75"/>
      <c r="AJ32" s="75"/>
      <c r="AK32" s="76"/>
      <c r="AL32" s="77"/>
      <c r="AM32" s="75"/>
      <c r="AN32" s="75"/>
      <c r="AO32" s="75"/>
    </row>
    <row r="33" spans="1:41" ht="14.5" customHeight="1">
      <c r="A33" s="84"/>
      <c r="B33" s="84"/>
      <c r="C33" s="93"/>
      <c r="D33" s="93"/>
      <c r="E33" s="93"/>
      <c r="F33" s="7" t="s">
        <v>18</v>
      </c>
      <c r="G33" s="71" t="s">
        <v>19</v>
      </c>
      <c r="H33" s="71"/>
      <c r="I33" s="71"/>
      <c r="J33" s="71"/>
      <c r="K33" s="71"/>
      <c r="L33" s="70" t="s">
        <v>36</v>
      </c>
      <c r="M33" s="70"/>
      <c r="N33" s="70"/>
      <c r="O33" s="70"/>
      <c r="P33" s="70"/>
      <c r="Q33" s="70" t="s">
        <v>86</v>
      </c>
      <c r="R33" s="70"/>
      <c r="S33" s="70"/>
      <c r="T33" s="70"/>
      <c r="U33" s="70"/>
      <c r="V33" s="70" t="s">
        <v>87</v>
      </c>
      <c r="W33" s="70"/>
      <c r="X33" s="70"/>
      <c r="Y33" s="70"/>
      <c r="Z33" s="70"/>
      <c r="AA33" s="70" t="s">
        <v>88</v>
      </c>
      <c r="AB33" s="70"/>
      <c r="AC33" s="70"/>
      <c r="AD33" s="70"/>
      <c r="AE33" s="70"/>
      <c r="AF33" s="70" t="s">
        <v>89</v>
      </c>
      <c r="AG33" s="70"/>
      <c r="AH33" s="70"/>
      <c r="AI33" s="70"/>
      <c r="AJ33" s="70"/>
      <c r="AK33" s="70"/>
      <c r="AL33" s="70"/>
      <c r="AM33" s="70"/>
      <c r="AN33" s="70"/>
      <c r="AO33" s="70"/>
    </row>
    <row r="34" spans="1:41" ht="60" customHeight="1">
      <c r="A34" s="84"/>
      <c r="B34" s="84"/>
      <c r="C34" s="93"/>
      <c r="D34" s="93"/>
      <c r="E34" s="93"/>
      <c r="F34" s="7" t="s">
        <v>20</v>
      </c>
      <c r="G34" s="81" t="s">
        <v>29</v>
      </c>
      <c r="H34" s="82"/>
      <c r="I34" s="82"/>
      <c r="J34" s="82"/>
      <c r="K34" s="83"/>
      <c r="L34" s="71" t="s">
        <v>75</v>
      </c>
      <c r="M34" s="70"/>
      <c r="N34" s="70"/>
      <c r="O34" s="70"/>
      <c r="P34" s="70"/>
      <c r="Q34" s="71" t="s">
        <v>90</v>
      </c>
      <c r="R34" s="70"/>
      <c r="S34" s="70"/>
      <c r="T34" s="70"/>
      <c r="U34" s="70"/>
      <c r="V34" s="71" t="s">
        <v>91</v>
      </c>
      <c r="W34" s="70"/>
      <c r="X34" s="70"/>
      <c r="Y34" s="70"/>
      <c r="Z34" s="70"/>
      <c r="AA34" s="70" t="s">
        <v>21</v>
      </c>
      <c r="AB34" s="70"/>
      <c r="AC34" s="70"/>
      <c r="AD34" s="70"/>
      <c r="AE34" s="70"/>
      <c r="AF34" s="70" t="s">
        <v>21</v>
      </c>
      <c r="AG34" s="70"/>
      <c r="AH34" s="70"/>
      <c r="AI34" s="70"/>
      <c r="AJ34" s="70"/>
      <c r="AK34" s="70"/>
      <c r="AL34" s="70"/>
      <c r="AM34" s="70"/>
      <c r="AN34" s="70"/>
      <c r="AO34" s="70"/>
    </row>
    <row r="35" spans="1:41">
      <c r="A35" s="84"/>
      <c r="B35" s="84"/>
      <c r="C35" s="93"/>
      <c r="D35" s="93"/>
      <c r="E35" s="93"/>
      <c r="F35" s="7" t="s">
        <v>22</v>
      </c>
      <c r="G35" s="71" t="s">
        <v>23</v>
      </c>
      <c r="H35" s="71"/>
      <c r="I35" s="71"/>
      <c r="J35" s="71"/>
      <c r="K35" s="71"/>
      <c r="L35" s="71" t="s">
        <v>37</v>
      </c>
      <c r="M35" s="71"/>
      <c r="N35" s="71"/>
      <c r="O35" s="71"/>
      <c r="P35" s="71"/>
      <c r="Q35" s="71" t="s">
        <v>24</v>
      </c>
      <c r="R35" s="71"/>
      <c r="S35" s="71"/>
      <c r="T35" s="71"/>
      <c r="U35" s="71"/>
      <c r="V35" s="71" t="s">
        <v>24</v>
      </c>
      <c r="W35" s="71"/>
      <c r="X35" s="71"/>
      <c r="Y35" s="71"/>
      <c r="Z35" s="71"/>
      <c r="AA35" s="71" t="s">
        <v>24</v>
      </c>
      <c r="AB35" s="71"/>
      <c r="AC35" s="71"/>
      <c r="AD35" s="71"/>
      <c r="AE35" s="71"/>
      <c r="AF35" s="71" t="s">
        <v>24</v>
      </c>
      <c r="AG35" s="71"/>
      <c r="AH35" s="71"/>
      <c r="AI35" s="71"/>
      <c r="AJ35" s="71"/>
      <c r="AK35" s="71"/>
      <c r="AL35" s="71"/>
      <c r="AM35" s="71"/>
      <c r="AN35" s="71"/>
      <c r="AO35" s="71"/>
    </row>
    <row r="36" spans="1:41">
      <c r="A36" s="84"/>
      <c r="B36" s="84"/>
      <c r="C36" s="93"/>
      <c r="D36" s="93"/>
      <c r="E36" s="93"/>
      <c r="F36" s="7" t="s">
        <v>25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 t="s">
        <v>26</v>
      </c>
      <c r="R36" s="71"/>
      <c r="S36" s="71"/>
      <c r="T36" s="71"/>
      <c r="U36" s="71"/>
      <c r="V36" s="71" t="s">
        <v>26</v>
      </c>
      <c r="W36" s="71"/>
      <c r="X36" s="71"/>
      <c r="Y36" s="71"/>
      <c r="Z36" s="71"/>
      <c r="AA36" s="71" t="s">
        <v>26</v>
      </c>
      <c r="AB36" s="71"/>
      <c r="AC36" s="71"/>
      <c r="AD36" s="71"/>
      <c r="AE36" s="71"/>
      <c r="AF36" s="71" t="s">
        <v>26</v>
      </c>
      <c r="AG36" s="71"/>
      <c r="AH36" s="71"/>
      <c r="AI36" s="71"/>
      <c r="AJ36" s="71"/>
      <c r="AK36" s="71"/>
      <c r="AL36" s="71"/>
      <c r="AM36" s="71"/>
      <c r="AN36" s="71"/>
      <c r="AO36" s="71"/>
    </row>
    <row r="37" spans="1:41" ht="15.5">
      <c r="A37" s="84"/>
      <c r="B37" s="84"/>
      <c r="C37" s="93"/>
      <c r="D37" s="93"/>
      <c r="E37" s="93"/>
      <c r="F37" s="7" t="s">
        <v>27</v>
      </c>
      <c r="G37" s="71"/>
      <c r="H37" s="71"/>
      <c r="I37" s="71"/>
      <c r="J37" s="71"/>
      <c r="K37" s="71"/>
      <c r="L37" s="67"/>
      <c r="M37" s="68"/>
      <c r="N37" s="68"/>
      <c r="O37" s="68"/>
      <c r="P37" s="69"/>
      <c r="Q37" s="67"/>
      <c r="R37" s="68"/>
      <c r="S37" s="68"/>
      <c r="T37" s="68"/>
      <c r="U37" s="69"/>
      <c r="V37" s="67"/>
      <c r="W37" s="68"/>
      <c r="X37" s="68"/>
      <c r="Y37" s="68"/>
      <c r="Z37" s="69"/>
      <c r="AA37" s="11"/>
      <c r="AB37" s="12"/>
      <c r="AC37" s="12"/>
      <c r="AD37" s="12"/>
      <c r="AE37" s="13"/>
      <c r="AF37" s="11"/>
      <c r="AG37" s="12"/>
      <c r="AH37" s="12"/>
      <c r="AI37" s="12"/>
      <c r="AJ37" s="13"/>
      <c r="AK37" s="72"/>
      <c r="AL37" s="73"/>
      <c r="AM37" s="73"/>
      <c r="AN37" s="73"/>
      <c r="AO37" s="74"/>
    </row>
    <row r="39" spans="1:41">
      <c r="G39" s="3" t="s">
        <v>33</v>
      </c>
      <c r="H39" s="4"/>
      <c r="I39" s="4"/>
      <c r="M39" s="4"/>
      <c r="N39" s="4"/>
      <c r="S39" s="4"/>
      <c r="T39" s="4"/>
      <c r="U39" s="4"/>
      <c r="V39" s="4"/>
      <c r="Z39" s="3" t="s">
        <v>34</v>
      </c>
      <c r="AA39" s="4"/>
      <c r="AB39" s="4"/>
      <c r="AJ39" s="4"/>
    </row>
    <row r="44" spans="1:41" ht="15.5">
      <c r="G44" s="5"/>
      <c r="Z44" s="5"/>
    </row>
    <row r="46" spans="1:41">
      <c r="B46" s="6"/>
    </row>
    <row r="47" spans="1:41">
      <c r="I47" s="9"/>
    </row>
    <row r="49" spans="9:14" ht="15.5">
      <c r="I49" s="10"/>
    </row>
    <row r="50" spans="9:14" ht="15.5">
      <c r="I50" s="10"/>
    </row>
    <row r="52" spans="9:14">
      <c r="N52" s="9"/>
    </row>
  </sheetData>
  <mergeCells count="251">
    <mergeCell ref="V37:Z37"/>
    <mergeCell ref="AF35:AJ35"/>
    <mergeCell ref="AF36:AJ36"/>
    <mergeCell ref="Q17:U17"/>
    <mergeCell ref="Q18:U18"/>
    <mergeCell ref="AF15:AJ15"/>
    <mergeCell ref="Q15:U15"/>
    <mergeCell ref="V15:Z15"/>
    <mergeCell ref="AA15:AE15"/>
    <mergeCell ref="AF29:AJ29"/>
    <mergeCell ref="AF30:AJ30"/>
    <mergeCell ref="AF33:AJ33"/>
    <mergeCell ref="AF28:AJ28"/>
    <mergeCell ref="V35:Z35"/>
    <mergeCell ref="V36:Z36"/>
    <mergeCell ref="AA24:AE24"/>
    <mergeCell ref="Q35:U35"/>
    <mergeCell ref="Q36:U36"/>
    <mergeCell ref="Q33:U33"/>
    <mergeCell ref="Q34:U34"/>
    <mergeCell ref="AA33:AE33"/>
    <mergeCell ref="AA34:AE34"/>
    <mergeCell ref="V32:W32"/>
    <mergeCell ref="X32:Z32"/>
    <mergeCell ref="AF23:AJ23"/>
    <mergeCell ref="X26:Z26"/>
    <mergeCell ref="AA9:AE9"/>
    <mergeCell ref="AF9:AJ9"/>
    <mergeCell ref="AA10:AE10"/>
    <mergeCell ref="AF10:AJ10"/>
    <mergeCell ref="AA11:AE11"/>
    <mergeCell ref="AF11:AJ11"/>
    <mergeCell ref="Q30:U30"/>
    <mergeCell ref="V12:Z12"/>
    <mergeCell ref="V29:Z29"/>
    <mergeCell ref="Q12:U12"/>
    <mergeCell ref="AA36:AE36"/>
    <mergeCell ref="V34:Z34"/>
    <mergeCell ref="AA30:AE30"/>
    <mergeCell ref="AA26:AB26"/>
    <mergeCell ref="AC26:AE26"/>
    <mergeCell ref="AA17:AE17"/>
    <mergeCell ref="L23:P23"/>
    <mergeCell ref="L24:P24"/>
    <mergeCell ref="AA18:AE18"/>
    <mergeCell ref="Q19:U19"/>
    <mergeCell ref="Q23:U23"/>
    <mergeCell ref="Q24:U24"/>
    <mergeCell ref="V23:Z23"/>
    <mergeCell ref="V24:Z24"/>
    <mergeCell ref="V20:W20"/>
    <mergeCell ref="AC20:AE20"/>
    <mergeCell ref="V33:Z33"/>
    <mergeCell ref="Q31:U31"/>
    <mergeCell ref="AA32:AB32"/>
    <mergeCell ref="V25:Z25"/>
    <mergeCell ref="AA22:AE22"/>
    <mergeCell ref="AA23:AE23"/>
    <mergeCell ref="AA25:AE25"/>
    <mergeCell ref="V31:Z31"/>
    <mergeCell ref="A32:B37"/>
    <mergeCell ref="C32:E37"/>
    <mergeCell ref="G32:H32"/>
    <mergeCell ref="I32:K32"/>
    <mergeCell ref="L32:M32"/>
    <mergeCell ref="N32:P32"/>
    <mergeCell ref="A26:B31"/>
    <mergeCell ref="C26:E31"/>
    <mergeCell ref="L33:P33"/>
    <mergeCell ref="L28:P28"/>
    <mergeCell ref="L27:P27"/>
    <mergeCell ref="G29:K29"/>
    <mergeCell ref="G30:K30"/>
    <mergeCell ref="G31:K31"/>
    <mergeCell ref="G35:K35"/>
    <mergeCell ref="G36:K36"/>
    <mergeCell ref="G37:K37"/>
    <mergeCell ref="L35:P35"/>
    <mergeCell ref="G33:K33"/>
    <mergeCell ref="G34:K34"/>
    <mergeCell ref="L34:P34"/>
    <mergeCell ref="L31:P31"/>
    <mergeCell ref="L37:P37"/>
    <mergeCell ref="AK36:AO36"/>
    <mergeCell ref="AK24:AO24"/>
    <mergeCell ref="AK32:AL32"/>
    <mergeCell ref="AM32:AO32"/>
    <mergeCell ref="AF32:AG32"/>
    <mergeCell ref="AK29:AO29"/>
    <mergeCell ref="AK30:AO30"/>
    <mergeCell ref="AK31:AO31"/>
    <mergeCell ref="AH32:AJ32"/>
    <mergeCell ref="AK34:AO34"/>
    <mergeCell ref="AF34:AJ34"/>
    <mergeCell ref="AK33:AO33"/>
    <mergeCell ref="AK25:AO25"/>
    <mergeCell ref="AM26:AO26"/>
    <mergeCell ref="AF24:AJ24"/>
    <mergeCell ref="AF25:AJ25"/>
    <mergeCell ref="AK26:AL26"/>
    <mergeCell ref="AK28:AO28"/>
    <mergeCell ref="AF27:AJ27"/>
    <mergeCell ref="AK27:AO27"/>
    <mergeCell ref="AF26:AG26"/>
    <mergeCell ref="AH26:AJ26"/>
    <mergeCell ref="AK15:AO15"/>
    <mergeCell ref="AK17:AO17"/>
    <mergeCell ref="AK20:AL20"/>
    <mergeCell ref="AM20:AO20"/>
    <mergeCell ref="AK18:AO18"/>
    <mergeCell ref="AF16:AJ16"/>
    <mergeCell ref="AK16:AO16"/>
    <mergeCell ref="AF22:AJ22"/>
    <mergeCell ref="AK22:AO22"/>
    <mergeCell ref="AK19:AO19"/>
    <mergeCell ref="AF20:AG20"/>
    <mergeCell ref="AH20:AJ20"/>
    <mergeCell ref="AK21:AO21"/>
    <mergeCell ref="AF17:AJ17"/>
    <mergeCell ref="AF18:AJ18"/>
    <mergeCell ref="AF21:AJ21"/>
    <mergeCell ref="A20:B25"/>
    <mergeCell ref="C20:E25"/>
    <mergeCell ref="G20:H20"/>
    <mergeCell ref="I20:K20"/>
    <mergeCell ref="L20:M20"/>
    <mergeCell ref="A14:B19"/>
    <mergeCell ref="C14:E19"/>
    <mergeCell ref="L22:P22"/>
    <mergeCell ref="L21:P21"/>
    <mergeCell ref="G22:K22"/>
    <mergeCell ref="L25:P25"/>
    <mergeCell ref="G23:K23"/>
    <mergeCell ref="G24:K24"/>
    <mergeCell ref="G25:K25"/>
    <mergeCell ref="G17:K17"/>
    <mergeCell ref="G18:K18"/>
    <mergeCell ref="G15:K15"/>
    <mergeCell ref="G16:K16"/>
    <mergeCell ref="G19:K19"/>
    <mergeCell ref="L15:P15"/>
    <mergeCell ref="G14:H14"/>
    <mergeCell ref="I14:K14"/>
    <mergeCell ref="L14:M14"/>
    <mergeCell ref="L16:P16"/>
    <mergeCell ref="G10:K10"/>
    <mergeCell ref="L10:P10"/>
    <mergeCell ref="Q10:U10"/>
    <mergeCell ref="V10:Z10"/>
    <mergeCell ref="AF8:AG8"/>
    <mergeCell ref="AK13:AO13"/>
    <mergeCell ref="Q13:U13"/>
    <mergeCell ref="Q14:R14"/>
    <mergeCell ref="S14:U14"/>
    <mergeCell ref="N14:P14"/>
    <mergeCell ref="AF14:AG14"/>
    <mergeCell ref="L11:P11"/>
    <mergeCell ref="L12:P12"/>
    <mergeCell ref="Q11:U11"/>
    <mergeCell ref="AK14:AL14"/>
    <mergeCell ref="AM14:AO14"/>
    <mergeCell ref="AK11:AO11"/>
    <mergeCell ref="AK12:AO12"/>
    <mergeCell ref="V14:W14"/>
    <mergeCell ref="X14:Z14"/>
    <mergeCell ref="AA14:AB14"/>
    <mergeCell ref="AC14:AE14"/>
    <mergeCell ref="AH14:AJ14"/>
    <mergeCell ref="V11:Z11"/>
    <mergeCell ref="A1:AO1"/>
    <mergeCell ref="A7:B7"/>
    <mergeCell ref="C7:E7"/>
    <mergeCell ref="G7:K7"/>
    <mergeCell ref="L7:P7"/>
    <mergeCell ref="Q7:U7"/>
    <mergeCell ref="V7:Z7"/>
    <mergeCell ref="AA7:AE7"/>
    <mergeCell ref="AF7:AJ7"/>
    <mergeCell ref="AK7:AO7"/>
    <mergeCell ref="A8:B13"/>
    <mergeCell ref="AH8:AJ8"/>
    <mergeCell ref="AK8:AL8"/>
    <mergeCell ref="AM8:AO8"/>
    <mergeCell ref="G9:K9"/>
    <mergeCell ref="L9:P9"/>
    <mergeCell ref="Q9:U9"/>
    <mergeCell ref="V9:Z9"/>
    <mergeCell ref="Q8:R8"/>
    <mergeCell ref="S8:U8"/>
    <mergeCell ref="V8:W8"/>
    <mergeCell ref="X8:Z8"/>
    <mergeCell ref="AA8:AB8"/>
    <mergeCell ref="AC8:AE8"/>
    <mergeCell ref="AK10:AO10"/>
    <mergeCell ref="C8:E13"/>
    <mergeCell ref="G8:H8"/>
    <mergeCell ref="I8:K8"/>
    <mergeCell ref="L8:M8"/>
    <mergeCell ref="N8:P8"/>
    <mergeCell ref="G11:K11"/>
    <mergeCell ref="G12:K12"/>
    <mergeCell ref="G13:K13"/>
    <mergeCell ref="AK9:AO9"/>
    <mergeCell ref="AK37:AO37"/>
    <mergeCell ref="AK35:AO35"/>
    <mergeCell ref="I26:K26"/>
    <mergeCell ref="G27:K27"/>
    <mergeCell ref="G28:K28"/>
    <mergeCell ref="G26:H26"/>
    <mergeCell ref="AA20:AB20"/>
    <mergeCell ref="V21:Z21"/>
    <mergeCell ref="AA21:AE21"/>
    <mergeCell ref="L26:M26"/>
    <mergeCell ref="N26:P26"/>
    <mergeCell ref="Q26:R26"/>
    <mergeCell ref="S26:U26"/>
    <mergeCell ref="V26:W26"/>
    <mergeCell ref="G21:K21"/>
    <mergeCell ref="Q22:U22"/>
    <mergeCell ref="V22:Z22"/>
    <mergeCell ref="Q21:U21"/>
    <mergeCell ref="N20:P20"/>
    <mergeCell ref="Q20:R20"/>
    <mergeCell ref="S20:U20"/>
    <mergeCell ref="Q25:U25"/>
    <mergeCell ref="AA28:AE28"/>
    <mergeCell ref="AK23:AO23"/>
    <mergeCell ref="Q37:U37"/>
    <mergeCell ref="V27:Z27"/>
    <mergeCell ref="AA27:AE27"/>
    <mergeCell ref="V28:Z28"/>
    <mergeCell ref="V16:Z16"/>
    <mergeCell ref="AA16:AE16"/>
    <mergeCell ref="Q16:U16"/>
    <mergeCell ref="L36:P36"/>
    <mergeCell ref="L29:P29"/>
    <mergeCell ref="L30:P30"/>
    <mergeCell ref="AC32:AE32"/>
    <mergeCell ref="AA29:AE29"/>
    <mergeCell ref="Q29:U29"/>
    <mergeCell ref="X20:Z20"/>
    <mergeCell ref="V30:Z30"/>
    <mergeCell ref="Q32:R32"/>
    <mergeCell ref="S32:U32"/>
    <mergeCell ref="Q28:U28"/>
    <mergeCell ref="Q27:U27"/>
    <mergeCell ref="L17:P17"/>
    <mergeCell ref="L18:P18"/>
    <mergeCell ref="V17:Z17"/>
    <mergeCell ref="V18:Z18"/>
    <mergeCell ref="AA35:AE35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DC7F-844A-F244-870D-53423653FC81}">
  <dimension ref="A1:J120"/>
  <sheetViews>
    <sheetView topLeftCell="A2" zoomScale="55" zoomScaleNormal="55" workbookViewId="0">
      <selection activeCell="D97" sqref="D97"/>
    </sheetView>
  </sheetViews>
  <sheetFormatPr defaultColWidth="8.6328125" defaultRowHeight="15"/>
  <cols>
    <col min="1" max="1" width="5.453125" style="49" customWidth="1"/>
    <col min="2" max="2" width="19.1796875" style="49" customWidth="1"/>
    <col min="3" max="3" width="26.81640625" style="49" customWidth="1"/>
    <col min="4" max="4" width="46" style="49" customWidth="1"/>
    <col min="5" max="5" width="97.54296875" style="49" customWidth="1"/>
    <col min="6" max="6" width="32" style="49" hidden="1" customWidth="1"/>
    <col min="7" max="7" width="16.6328125" style="49" hidden="1" customWidth="1"/>
    <col min="8" max="8" width="26.7265625" style="144" customWidth="1"/>
    <col min="9" max="9" width="28.1796875" style="144" customWidth="1"/>
    <col min="10" max="10" width="26.7265625" style="144" customWidth="1"/>
    <col min="11" max="16384" width="8.6328125" style="116"/>
  </cols>
  <sheetData>
    <row r="1" spans="1:10" ht="37.5" customHeight="1">
      <c r="A1" s="50">
        <f>COUNTA(C4:C58)</f>
        <v>54</v>
      </c>
      <c r="B1" s="105" t="s">
        <v>326</v>
      </c>
      <c r="C1" s="105"/>
      <c r="D1" s="105"/>
      <c r="E1" s="105"/>
      <c r="F1" s="105"/>
      <c r="G1" s="105"/>
      <c r="H1" s="105"/>
      <c r="I1" s="105"/>
      <c r="J1" s="105"/>
    </row>
    <row r="2" spans="1:10" s="121" customFormat="1">
      <c r="A2" s="106" t="s">
        <v>93</v>
      </c>
      <c r="B2" s="106" t="s">
        <v>94</v>
      </c>
      <c r="C2" s="106" t="s">
        <v>95</v>
      </c>
      <c r="D2" s="106" t="s">
        <v>96</v>
      </c>
      <c r="E2" s="107" t="s">
        <v>327</v>
      </c>
      <c r="F2" s="106" t="s">
        <v>328</v>
      </c>
      <c r="G2" s="106" t="s">
        <v>329</v>
      </c>
      <c r="H2" s="125" t="s">
        <v>330</v>
      </c>
      <c r="I2" s="125"/>
      <c r="J2" s="126" t="s">
        <v>331</v>
      </c>
    </row>
    <row r="3" spans="1:10" s="121" customFormat="1" ht="19" customHeight="1">
      <c r="A3" s="106"/>
      <c r="B3" s="106"/>
      <c r="C3" s="106"/>
      <c r="D3" s="106"/>
      <c r="E3" s="108"/>
      <c r="F3" s="106"/>
      <c r="G3" s="106"/>
      <c r="H3" s="127" t="s">
        <v>332</v>
      </c>
      <c r="I3" s="127" t="s">
        <v>333</v>
      </c>
      <c r="J3" s="126"/>
    </row>
    <row r="4" spans="1:10">
      <c r="A4" s="38">
        <v>1</v>
      </c>
      <c r="B4" s="38" t="s">
        <v>98</v>
      </c>
      <c r="C4" s="38" t="s">
        <v>334</v>
      </c>
      <c r="D4" s="38" t="s">
        <v>335</v>
      </c>
      <c r="E4" s="51" t="s">
        <v>336</v>
      </c>
      <c r="F4" s="41" t="s">
        <v>337</v>
      </c>
      <c r="G4" s="42" t="str">
        <f>VLOOKUP(B4,'[1]Danh sách Tổng'!$B$21:$I$73,8,0)</f>
        <v>27/02/2021</v>
      </c>
      <c r="H4" s="128" t="s">
        <v>338</v>
      </c>
      <c r="I4" s="128" t="s">
        <v>339</v>
      </c>
      <c r="J4" s="129" t="s">
        <v>97</v>
      </c>
    </row>
    <row r="5" spans="1:10">
      <c r="A5" s="38">
        <f>A4+1</f>
        <v>2</v>
      </c>
      <c r="B5" s="38" t="s">
        <v>99</v>
      </c>
      <c r="C5" s="38" t="s">
        <v>100</v>
      </c>
      <c r="D5" s="38" t="s">
        <v>340</v>
      </c>
      <c r="E5" s="51" t="s">
        <v>341</v>
      </c>
      <c r="F5" s="41" t="s">
        <v>342</v>
      </c>
      <c r="G5" s="42">
        <f>VLOOKUP(B5,'[1]Danh sách Tổng'!$B$21:$I$73,8,0)</f>
        <v>44899</v>
      </c>
      <c r="H5" s="128" t="s">
        <v>343</v>
      </c>
      <c r="I5" s="128" t="s">
        <v>344</v>
      </c>
      <c r="J5" s="129" t="s">
        <v>97</v>
      </c>
    </row>
    <row r="6" spans="1:10">
      <c r="A6" s="38">
        <f t="shared" ref="A6:A57" si="0">A5+1</f>
        <v>3</v>
      </c>
      <c r="B6" s="38" t="s">
        <v>101</v>
      </c>
      <c r="C6" s="38" t="s">
        <v>102</v>
      </c>
      <c r="D6" s="38" t="s">
        <v>345</v>
      </c>
      <c r="E6" s="51" t="s">
        <v>341</v>
      </c>
      <c r="F6" s="41" t="s">
        <v>346</v>
      </c>
      <c r="G6" s="42">
        <f>VLOOKUP(B6,'[1]Danh sách Tổng'!$B$21:$I$73,8,0)</f>
        <v>44686</v>
      </c>
      <c r="H6" s="128" t="s">
        <v>347</v>
      </c>
      <c r="I6" s="128" t="s">
        <v>348</v>
      </c>
      <c r="J6" s="129" t="s">
        <v>97</v>
      </c>
    </row>
    <row r="7" spans="1:10">
      <c r="A7" s="38">
        <f t="shared" si="0"/>
        <v>4</v>
      </c>
      <c r="B7" s="38" t="s">
        <v>104</v>
      </c>
      <c r="C7" s="38" t="s">
        <v>103</v>
      </c>
      <c r="D7" s="38" t="s">
        <v>349</v>
      </c>
      <c r="E7" s="51" t="s">
        <v>350</v>
      </c>
      <c r="F7" s="41" t="s">
        <v>351</v>
      </c>
      <c r="G7" s="42">
        <f>VLOOKUP(B7,'[1]Danh sách Tổng'!$B$21:$I$73,8,0)</f>
        <v>44572</v>
      </c>
      <c r="H7" s="128" t="s">
        <v>352</v>
      </c>
      <c r="I7" s="128" t="s">
        <v>338</v>
      </c>
      <c r="J7" s="129" t="s">
        <v>97</v>
      </c>
    </row>
    <row r="8" spans="1:10">
      <c r="A8" s="38">
        <f t="shared" si="0"/>
        <v>5</v>
      </c>
      <c r="B8" s="38" t="s">
        <v>105</v>
      </c>
      <c r="C8" s="38" t="s">
        <v>353</v>
      </c>
      <c r="D8" s="38" t="s">
        <v>106</v>
      </c>
      <c r="E8" s="51" t="s">
        <v>354</v>
      </c>
      <c r="F8" s="41" t="s">
        <v>355</v>
      </c>
      <c r="G8" s="42" t="str">
        <f>VLOOKUP(B8,'[1]Danh sách Tổng'!$B$21:$I$73,8,0)</f>
        <v>17/3/2021</v>
      </c>
      <c r="H8" s="128" t="s">
        <v>339</v>
      </c>
      <c r="I8" s="128" t="s">
        <v>338</v>
      </c>
      <c r="J8" s="129" t="s">
        <v>97</v>
      </c>
    </row>
    <row r="9" spans="1:10">
      <c r="A9" s="38">
        <f t="shared" si="0"/>
        <v>6</v>
      </c>
      <c r="B9" s="38" t="s">
        <v>107</v>
      </c>
      <c r="C9" s="38" t="s">
        <v>108</v>
      </c>
      <c r="D9" s="38" t="s">
        <v>356</v>
      </c>
      <c r="E9" s="51" t="s">
        <v>357</v>
      </c>
      <c r="F9" s="41" t="s">
        <v>358</v>
      </c>
      <c r="G9" s="42" t="str">
        <f>VLOOKUP(B9,'[1]Danh sách Tổng'!$B$21:$I$73,8,0)</f>
        <v>30/3/2021</v>
      </c>
      <c r="H9" s="128" t="s">
        <v>339</v>
      </c>
      <c r="I9" s="128" t="s">
        <v>338</v>
      </c>
      <c r="J9" s="129" t="s">
        <v>97</v>
      </c>
    </row>
    <row r="10" spans="1:10">
      <c r="A10" s="38">
        <f t="shared" si="0"/>
        <v>7</v>
      </c>
      <c r="B10" s="38" t="s">
        <v>109</v>
      </c>
      <c r="C10" s="38" t="s">
        <v>110</v>
      </c>
      <c r="D10" s="38" t="s">
        <v>359</v>
      </c>
      <c r="E10" s="51" t="s">
        <v>360</v>
      </c>
      <c r="F10" s="41" t="s">
        <v>361</v>
      </c>
      <c r="G10" s="42">
        <f>VLOOKUP(B10,'[1]Danh sách Tổng'!$B$21:$I$73,8,0)</f>
        <v>44287</v>
      </c>
      <c r="H10" s="128" t="s">
        <v>339</v>
      </c>
      <c r="I10" s="128" t="s">
        <v>338</v>
      </c>
      <c r="J10" s="129" t="s">
        <v>97</v>
      </c>
    </row>
    <row r="11" spans="1:10">
      <c r="A11" s="38">
        <f t="shared" si="0"/>
        <v>8</v>
      </c>
      <c r="B11" s="38" t="s">
        <v>208</v>
      </c>
      <c r="C11" s="38" t="s">
        <v>209</v>
      </c>
      <c r="D11" s="38" t="s">
        <v>362</v>
      </c>
      <c r="E11" s="51" t="s">
        <v>363</v>
      </c>
      <c r="F11" s="41" t="s">
        <v>364</v>
      </c>
      <c r="G11" s="42">
        <f>VLOOKUP(B11,'[1]Danh sách Tổng'!$B$21:$I$73,8,0)</f>
        <v>44287</v>
      </c>
      <c r="H11" s="128" t="s">
        <v>338</v>
      </c>
      <c r="I11" s="128" t="s">
        <v>339</v>
      </c>
      <c r="J11" s="129" t="s">
        <v>97</v>
      </c>
    </row>
    <row r="12" spans="1:10">
      <c r="A12" s="38">
        <f t="shared" si="0"/>
        <v>9</v>
      </c>
      <c r="B12" s="38" t="s">
        <v>111</v>
      </c>
      <c r="C12" s="38" t="s">
        <v>112</v>
      </c>
      <c r="D12" s="38" t="s">
        <v>113</v>
      </c>
      <c r="E12" s="51" t="s">
        <v>365</v>
      </c>
      <c r="F12" s="41" t="s">
        <v>366</v>
      </c>
      <c r="G12" s="42">
        <f>VLOOKUP(B12,'[1]Danh sách Tổng'!$B$21:$I$73,8,0)</f>
        <v>44311</v>
      </c>
      <c r="H12" s="128" t="s">
        <v>338</v>
      </c>
      <c r="I12" s="128" t="s">
        <v>339</v>
      </c>
      <c r="J12" s="129" t="s">
        <v>97</v>
      </c>
    </row>
    <row r="13" spans="1:10">
      <c r="A13" s="38">
        <f t="shared" si="0"/>
        <v>10</v>
      </c>
      <c r="B13" s="38" t="s">
        <v>114</v>
      </c>
      <c r="C13" s="38" t="s">
        <v>367</v>
      </c>
      <c r="D13" s="38" t="s">
        <v>115</v>
      </c>
      <c r="E13" s="51" t="s">
        <v>368</v>
      </c>
      <c r="F13" s="41" t="s">
        <v>369</v>
      </c>
      <c r="G13" s="42">
        <f>VLOOKUP(B13,'[1]Danh sách Tổng'!$B$21:$I$73,8,0)</f>
        <v>44311</v>
      </c>
      <c r="H13" s="128" t="s">
        <v>338</v>
      </c>
      <c r="I13" s="128" t="s">
        <v>339</v>
      </c>
      <c r="J13" s="129" t="s">
        <v>97</v>
      </c>
    </row>
    <row r="14" spans="1:10">
      <c r="A14" s="38">
        <f t="shared" si="0"/>
        <v>11</v>
      </c>
      <c r="B14" s="38" t="s">
        <v>124</v>
      </c>
      <c r="C14" s="38" t="s">
        <v>125</v>
      </c>
      <c r="D14" s="38" t="s">
        <v>370</v>
      </c>
      <c r="E14" s="51" t="s">
        <v>371</v>
      </c>
      <c r="F14" s="41" t="s">
        <v>372</v>
      </c>
      <c r="G14" s="42">
        <f>VLOOKUP(B14,'[1]Danh sách Tổng'!$B$21:$I$73,8,0)</f>
        <v>44315</v>
      </c>
      <c r="H14" s="128" t="s">
        <v>373</v>
      </c>
      <c r="I14" s="128" t="s">
        <v>374</v>
      </c>
      <c r="J14" s="129" t="s">
        <v>97</v>
      </c>
    </row>
    <row r="15" spans="1:10">
      <c r="A15" s="38">
        <f t="shared" si="0"/>
        <v>12</v>
      </c>
      <c r="B15" s="38" t="s">
        <v>116</v>
      </c>
      <c r="C15" s="43" t="s">
        <v>117</v>
      </c>
      <c r="D15" s="38" t="s">
        <v>118</v>
      </c>
      <c r="E15" s="51" t="s">
        <v>375</v>
      </c>
      <c r="F15" s="41" t="s">
        <v>376</v>
      </c>
      <c r="G15" s="42">
        <f>VLOOKUP(B15,'[1]Danh sách Tổng'!$B$21:$I$73,8,0)</f>
        <v>44311</v>
      </c>
      <c r="H15" s="128" t="s">
        <v>377</v>
      </c>
      <c r="I15" s="128" t="s">
        <v>339</v>
      </c>
      <c r="J15" s="129" t="s">
        <v>97</v>
      </c>
    </row>
    <row r="16" spans="1:10">
      <c r="A16" s="38">
        <f t="shared" si="0"/>
        <v>13</v>
      </c>
      <c r="B16" s="38" t="s">
        <v>124</v>
      </c>
      <c r="C16" s="38" t="s">
        <v>378</v>
      </c>
      <c r="D16" s="38" t="s">
        <v>379</v>
      </c>
      <c r="E16" s="51" t="s">
        <v>380</v>
      </c>
      <c r="F16" s="41" t="s">
        <v>372</v>
      </c>
      <c r="G16" s="42">
        <f>VLOOKUP(B16,'[1]Danh sách Tổng'!$B$21:$I$73,8,0)</f>
        <v>44315</v>
      </c>
      <c r="H16" s="128" t="s">
        <v>339</v>
      </c>
      <c r="I16" s="128" t="s">
        <v>338</v>
      </c>
      <c r="J16" s="129" t="s">
        <v>97</v>
      </c>
    </row>
    <row r="17" spans="1:10">
      <c r="A17" s="38">
        <f t="shared" si="0"/>
        <v>14</v>
      </c>
      <c r="B17" s="52" t="s">
        <v>119</v>
      </c>
      <c r="C17" s="43" t="s">
        <v>120</v>
      </c>
      <c r="D17" s="38" t="s">
        <v>121</v>
      </c>
      <c r="E17" s="51" t="s">
        <v>381</v>
      </c>
      <c r="F17" s="41" t="s">
        <v>382</v>
      </c>
      <c r="G17" s="42">
        <f>VLOOKUP(B17,'[1]Danh sách Tổng'!$B$21:$I$73,8,0)</f>
        <v>44337</v>
      </c>
      <c r="H17" s="128" t="s">
        <v>339</v>
      </c>
      <c r="I17" s="128" t="s">
        <v>338</v>
      </c>
      <c r="J17" s="129" t="s">
        <v>97</v>
      </c>
    </row>
    <row r="18" spans="1:10">
      <c r="A18" s="38">
        <f t="shared" si="0"/>
        <v>15</v>
      </c>
      <c r="B18" s="38" t="s">
        <v>383</v>
      </c>
      <c r="C18" s="38" t="s">
        <v>188</v>
      </c>
      <c r="D18" s="38" t="s">
        <v>384</v>
      </c>
      <c r="E18" s="51" t="s">
        <v>385</v>
      </c>
      <c r="F18" s="41" t="s">
        <v>386</v>
      </c>
      <c r="G18" s="42"/>
      <c r="H18" s="128" t="s">
        <v>339</v>
      </c>
      <c r="I18" s="128" t="s">
        <v>338</v>
      </c>
      <c r="J18" s="129" t="s">
        <v>97</v>
      </c>
    </row>
    <row r="19" spans="1:10">
      <c r="A19" s="38">
        <f t="shared" si="0"/>
        <v>16</v>
      </c>
      <c r="B19" s="38" t="s">
        <v>122</v>
      </c>
      <c r="C19" s="38" t="s">
        <v>123</v>
      </c>
      <c r="D19" s="38" t="s">
        <v>387</v>
      </c>
      <c r="E19" s="51" t="s">
        <v>388</v>
      </c>
      <c r="F19" s="41" t="s">
        <v>389</v>
      </c>
      <c r="G19" s="42">
        <f>VLOOKUP(B19,'[1]Danh sách Tổng'!$B$21:$I$73,8,0)</f>
        <v>44318</v>
      </c>
      <c r="H19" s="130" t="s">
        <v>390</v>
      </c>
      <c r="I19" s="130" t="s">
        <v>391</v>
      </c>
      <c r="J19" s="129" t="s">
        <v>97</v>
      </c>
    </row>
    <row r="20" spans="1:10">
      <c r="A20" s="38">
        <f t="shared" si="0"/>
        <v>17</v>
      </c>
      <c r="B20" s="38" t="s">
        <v>129</v>
      </c>
      <c r="C20" s="38" t="s">
        <v>130</v>
      </c>
      <c r="D20" s="38" t="s">
        <v>131</v>
      </c>
      <c r="E20" s="51" t="s">
        <v>392</v>
      </c>
      <c r="F20" s="41" t="s">
        <v>393</v>
      </c>
      <c r="G20" s="42">
        <f>VLOOKUP(B20,'[1]Danh sách Tổng'!$B$21:$I$73,8,0)</f>
        <v>44378</v>
      </c>
      <c r="H20" s="128" t="s">
        <v>339</v>
      </c>
      <c r="I20" s="128" t="s">
        <v>338</v>
      </c>
      <c r="J20" s="129" t="s">
        <v>97</v>
      </c>
    </row>
    <row r="21" spans="1:10">
      <c r="A21" s="38">
        <f t="shared" si="0"/>
        <v>18</v>
      </c>
      <c r="B21" s="38" t="s">
        <v>126</v>
      </c>
      <c r="C21" s="38" t="s">
        <v>127</v>
      </c>
      <c r="D21" s="38" t="s">
        <v>394</v>
      </c>
      <c r="E21" s="51" t="s">
        <v>395</v>
      </c>
      <c r="F21" s="41" t="s">
        <v>396</v>
      </c>
      <c r="G21" s="42">
        <f>VLOOKUP(B21,'[1]Danh sách Tổng'!$B$21:$I$73,8,0)</f>
        <v>44489</v>
      </c>
      <c r="H21" s="128" t="s">
        <v>339</v>
      </c>
      <c r="I21" s="128" t="s">
        <v>338</v>
      </c>
      <c r="J21" s="129" t="s">
        <v>97</v>
      </c>
    </row>
    <row r="22" spans="1:10" hidden="1">
      <c r="A22" s="38">
        <f t="shared" si="0"/>
        <v>19</v>
      </c>
      <c r="B22" s="38" t="s">
        <v>144</v>
      </c>
      <c r="C22" s="44" t="s">
        <v>145</v>
      </c>
      <c r="D22" s="38" t="s">
        <v>128</v>
      </c>
      <c r="E22" s="51" t="s">
        <v>397</v>
      </c>
      <c r="F22" s="41" t="s">
        <v>398</v>
      </c>
      <c r="G22" s="42">
        <f>VLOOKUP(B22,'[1]Danh sách Tổng'!$B$21:$I$73,8,0)</f>
        <v>44489</v>
      </c>
      <c r="H22" s="128" t="s">
        <v>352</v>
      </c>
      <c r="I22" s="128" t="s">
        <v>338</v>
      </c>
      <c r="J22" s="129" t="s">
        <v>97</v>
      </c>
    </row>
    <row r="23" spans="1:10">
      <c r="A23" s="38">
        <f t="shared" si="0"/>
        <v>20</v>
      </c>
      <c r="B23" s="38" t="s">
        <v>132</v>
      </c>
      <c r="C23" s="38" t="s">
        <v>133</v>
      </c>
      <c r="D23" s="38" t="s">
        <v>399</v>
      </c>
      <c r="E23" s="51" t="s">
        <v>400</v>
      </c>
      <c r="F23" s="41" t="s">
        <v>401</v>
      </c>
      <c r="G23" s="42">
        <f>VLOOKUP(B23,'[1]Danh sách Tổng'!$B$21:$I$73,8,0)</f>
        <v>44489</v>
      </c>
      <c r="H23" s="128" t="s">
        <v>338</v>
      </c>
      <c r="I23" s="128" t="s">
        <v>339</v>
      </c>
      <c r="J23" s="129" t="s">
        <v>97</v>
      </c>
    </row>
    <row r="24" spans="1:10">
      <c r="A24" s="38">
        <f t="shared" si="0"/>
        <v>21</v>
      </c>
      <c r="B24" s="38" t="s">
        <v>402</v>
      </c>
      <c r="C24" s="38" t="s">
        <v>403</v>
      </c>
      <c r="D24" s="38" t="s">
        <v>198</v>
      </c>
      <c r="E24" s="51" t="s">
        <v>381</v>
      </c>
      <c r="F24" s="41"/>
      <c r="G24" s="45" t="s">
        <v>404</v>
      </c>
      <c r="H24" s="128" t="s">
        <v>338</v>
      </c>
      <c r="I24" s="128" t="s">
        <v>339</v>
      </c>
      <c r="J24" s="129" t="s">
        <v>97</v>
      </c>
    </row>
    <row r="25" spans="1:10">
      <c r="A25" s="38">
        <f t="shared" si="0"/>
        <v>22</v>
      </c>
      <c r="B25" s="38" t="s">
        <v>141</v>
      </c>
      <c r="C25" s="38" t="s">
        <v>142</v>
      </c>
      <c r="D25" s="38" t="s">
        <v>143</v>
      </c>
      <c r="E25" s="51" t="s">
        <v>405</v>
      </c>
      <c r="F25" s="41" t="s">
        <v>406</v>
      </c>
      <c r="G25" s="42">
        <f>VLOOKUP(B25,'[1]Danh sách Tổng'!$B$21:$I$73,8,0)</f>
        <v>44496</v>
      </c>
      <c r="H25" s="128" t="s">
        <v>407</v>
      </c>
      <c r="I25" s="128" t="s">
        <v>352</v>
      </c>
      <c r="J25" s="129" t="s">
        <v>97</v>
      </c>
    </row>
    <row r="26" spans="1:10">
      <c r="A26" s="38">
        <f t="shared" si="0"/>
        <v>23</v>
      </c>
      <c r="B26" s="38" t="s">
        <v>408</v>
      </c>
      <c r="C26" s="38" t="s">
        <v>178</v>
      </c>
      <c r="D26" s="38" t="s">
        <v>409</v>
      </c>
      <c r="E26" s="51" t="s">
        <v>410</v>
      </c>
      <c r="F26" s="41" t="s">
        <v>411</v>
      </c>
      <c r="G26" s="42">
        <f>VLOOKUP(B26,'[1]Danh sách Tổng'!$B$21:$I$73,8,0)</f>
        <v>44697</v>
      </c>
      <c r="H26" s="128" t="s">
        <v>339</v>
      </c>
      <c r="I26" s="128" t="s">
        <v>338</v>
      </c>
      <c r="J26" s="129" t="s">
        <v>97</v>
      </c>
    </row>
    <row r="27" spans="1:10">
      <c r="A27" s="38">
        <f t="shared" si="0"/>
        <v>24</v>
      </c>
      <c r="B27" s="38" t="s">
        <v>412</v>
      </c>
      <c r="C27" s="38" t="s">
        <v>199</v>
      </c>
      <c r="D27" s="38" t="s">
        <v>200</v>
      </c>
      <c r="E27" s="51" t="s">
        <v>413</v>
      </c>
      <c r="F27" s="41" t="s">
        <v>414</v>
      </c>
      <c r="G27" s="42">
        <f>VLOOKUP(B27,'[1]Danh sách Tổng'!$B$21:$I$73,8,0)</f>
        <v>44501</v>
      </c>
      <c r="H27" s="128" t="s">
        <v>338</v>
      </c>
      <c r="I27" s="128" t="s">
        <v>352</v>
      </c>
      <c r="J27" s="129" t="s">
        <v>97</v>
      </c>
    </row>
    <row r="28" spans="1:10">
      <c r="A28" s="38">
        <f t="shared" si="0"/>
        <v>25</v>
      </c>
      <c r="B28" s="38" t="s">
        <v>139</v>
      </c>
      <c r="C28" s="38" t="s">
        <v>140</v>
      </c>
      <c r="D28" s="38" t="s">
        <v>585</v>
      </c>
      <c r="E28" s="51" t="s">
        <v>397</v>
      </c>
      <c r="F28" s="41" t="s">
        <v>415</v>
      </c>
      <c r="G28" s="42">
        <f>VLOOKUP(B28,'[1]Danh sách Tổng'!$B$21:$I$73,8,0)</f>
        <v>44498</v>
      </c>
      <c r="H28" s="128" t="s">
        <v>339</v>
      </c>
      <c r="I28" s="128" t="s">
        <v>338</v>
      </c>
      <c r="J28" s="129" t="s">
        <v>97</v>
      </c>
    </row>
    <row r="29" spans="1:10">
      <c r="A29" s="38">
        <f t="shared" si="0"/>
        <v>26</v>
      </c>
      <c r="B29" s="38" t="s">
        <v>136</v>
      </c>
      <c r="C29" s="38" t="s">
        <v>137</v>
      </c>
      <c r="D29" s="38" t="s">
        <v>138</v>
      </c>
      <c r="E29" s="51" t="s">
        <v>395</v>
      </c>
      <c r="F29" s="41" t="s">
        <v>416</v>
      </c>
      <c r="G29" s="42">
        <f>VLOOKUP(B29,'[1]Danh sách Tổng'!$B$21:$I$73,8,0)</f>
        <v>44498</v>
      </c>
      <c r="H29" s="128" t="s">
        <v>339</v>
      </c>
      <c r="I29" s="128" t="s">
        <v>338</v>
      </c>
      <c r="J29" s="129" t="s">
        <v>97</v>
      </c>
    </row>
    <row r="30" spans="1:10">
      <c r="A30" s="38">
        <f t="shared" si="0"/>
        <v>27</v>
      </c>
      <c r="B30" s="38" t="s">
        <v>134</v>
      </c>
      <c r="C30" s="38" t="s">
        <v>135</v>
      </c>
      <c r="D30" s="38" t="s">
        <v>586</v>
      </c>
      <c r="E30" s="51" t="s">
        <v>392</v>
      </c>
      <c r="F30" s="41" t="s">
        <v>417</v>
      </c>
      <c r="G30" s="42">
        <f>VLOOKUP(B30,'[1]Danh sách Tổng'!$B$21:$I$73,8,0)</f>
        <v>44498</v>
      </c>
      <c r="H30" s="128" t="s">
        <v>338</v>
      </c>
      <c r="I30" s="128" t="s">
        <v>352</v>
      </c>
      <c r="J30" s="129" t="s">
        <v>97</v>
      </c>
    </row>
    <row r="31" spans="1:10">
      <c r="A31" s="38">
        <f t="shared" si="0"/>
        <v>28</v>
      </c>
      <c r="B31" s="38" t="s">
        <v>146</v>
      </c>
      <c r="C31" s="38" t="s">
        <v>147</v>
      </c>
      <c r="D31" s="38" t="s">
        <v>148</v>
      </c>
      <c r="E31" s="51" t="s">
        <v>405</v>
      </c>
      <c r="F31" s="41" t="s">
        <v>418</v>
      </c>
      <c r="G31" s="42">
        <f>VLOOKUP(B31,'[1]Danh sách Tổng'!$B$21:$I$73,8,0)</f>
        <v>44501</v>
      </c>
      <c r="H31" s="128" t="s">
        <v>339</v>
      </c>
      <c r="I31" s="128" t="s">
        <v>338</v>
      </c>
      <c r="J31" s="129" t="s">
        <v>97</v>
      </c>
    </row>
    <row r="32" spans="1:10">
      <c r="A32" s="38">
        <f t="shared" si="0"/>
        <v>29</v>
      </c>
      <c r="B32" s="38" t="s">
        <v>149</v>
      </c>
      <c r="C32" s="38" t="s">
        <v>150</v>
      </c>
      <c r="D32" s="38" t="s">
        <v>151</v>
      </c>
      <c r="E32" s="51" t="s">
        <v>410</v>
      </c>
      <c r="F32" s="41" t="s">
        <v>419</v>
      </c>
      <c r="G32" s="42">
        <f>VLOOKUP(B32,'[1]Danh sách Tổng'!$B$21:$I$73,8,0)</f>
        <v>44501</v>
      </c>
      <c r="H32" s="128" t="s">
        <v>339</v>
      </c>
      <c r="I32" s="128" t="s">
        <v>338</v>
      </c>
      <c r="J32" s="129" t="s">
        <v>97</v>
      </c>
    </row>
    <row r="33" spans="1:10">
      <c r="A33" s="38">
        <f t="shared" si="0"/>
        <v>30</v>
      </c>
      <c r="B33" s="38" t="s">
        <v>152</v>
      </c>
      <c r="C33" s="38" t="s">
        <v>153</v>
      </c>
      <c r="D33" s="38" t="s">
        <v>154</v>
      </c>
      <c r="E33" s="51" t="s">
        <v>413</v>
      </c>
      <c r="F33" s="41" t="s">
        <v>420</v>
      </c>
      <c r="G33" s="42">
        <f>VLOOKUP(B33,'[1]Danh sách Tổng'!$B$21:$I$73,8,0)</f>
        <v>44498</v>
      </c>
      <c r="H33" s="128" t="s">
        <v>338</v>
      </c>
      <c r="I33" s="128" t="s">
        <v>352</v>
      </c>
      <c r="J33" s="129" t="s">
        <v>97</v>
      </c>
    </row>
    <row r="34" spans="1:10">
      <c r="A34" s="38">
        <f t="shared" si="0"/>
        <v>31</v>
      </c>
      <c r="B34" s="38" t="s">
        <v>155</v>
      </c>
      <c r="C34" s="38" t="s">
        <v>156</v>
      </c>
      <c r="D34" s="38" t="s">
        <v>157</v>
      </c>
      <c r="E34" s="51" t="s">
        <v>434</v>
      </c>
      <c r="F34" s="41" t="s">
        <v>421</v>
      </c>
      <c r="G34" s="42">
        <f>VLOOKUP(B34,'[1]Danh sách Tổng'!$B$21:$I$73,8,0)</f>
        <v>44498</v>
      </c>
      <c r="H34" s="128" t="s">
        <v>339</v>
      </c>
      <c r="I34" s="128" t="s">
        <v>338</v>
      </c>
      <c r="J34" s="129" t="s">
        <v>97</v>
      </c>
    </row>
    <row r="35" spans="1:10">
      <c r="A35" s="38">
        <f t="shared" si="0"/>
        <v>32</v>
      </c>
      <c r="B35" s="38" t="s">
        <v>206</v>
      </c>
      <c r="C35" s="38" t="s">
        <v>422</v>
      </c>
      <c r="D35" s="38" t="s">
        <v>207</v>
      </c>
      <c r="E35" s="51" t="s">
        <v>590</v>
      </c>
      <c r="F35" s="41" t="s">
        <v>423</v>
      </c>
      <c r="G35" s="42">
        <f>VLOOKUP(B35,'[1]Danh sách Tổng'!$B$21:$I$73,8,0)</f>
        <v>44512</v>
      </c>
      <c r="H35" s="128" t="s">
        <v>339</v>
      </c>
      <c r="I35" s="128" t="s">
        <v>338</v>
      </c>
      <c r="J35" s="129" t="s">
        <v>97</v>
      </c>
    </row>
    <row r="36" spans="1:10">
      <c r="A36" s="38">
        <f t="shared" si="0"/>
        <v>33</v>
      </c>
      <c r="B36" s="38" t="s">
        <v>160</v>
      </c>
      <c r="C36" s="38" t="s">
        <v>158</v>
      </c>
      <c r="D36" s="38" t="s">
        <v>159</v>
      </c>
      <c r="E36" s="51" t="s">
        <v>437</v>
      </c>
      <c r="F36" s="41" t="s">
        <v>424</v>
      </c>
      <c r="G36" s="42" t="e">
        <f>VLOOKUP(B36,'[1]Danh sách Tổng'!$B$21:$I$73,8,0)</f>
        <v>#REF!</v>
      </c>
      <c r="H36" s="128" t="s">
        <v>338</v>
      </c>
      <c r="I36" s="128" t="s">
        <v>352</v>
      </c>
      <c r="J36" s="129" t="s">
        <v>97</v>
      </c>
    </row>
    <row r="37" spans="1:10">
      <c r="A37" s="38">
        <f t="shared" si="0"/>
        <v>34</v>
      </c>
      <c r="B37" s="38" t="s">
        <v>425</v>
      </c>
      <c r="C37" s="38" t="s">
        <v>161</v>
      </c>
      <c r="D37" s="38" t="s">
        <v>162</v>
      </c>
      <c r="E37" s="51" t="s">
        <v>591</v>
      </c>
      <c r="F37" s="41" t="s">
        <v>426</v>
      </c>
      <c r="G37" s="42">
        <f>VLOOKUP(B37,'[1]Danh sách Tổng'!$B$21:$I$73,8,0)</f>
        <v>44538</v>
      </c>
      <c r="H37" s="128" t="s">
        <v>339</v>
      </c>
      <c r="I37" s="128" t="s">
        <v>338</v>
      </c>
      <c r="J37" s="129" t="s">
        <v>97</v>
      </c>
    </row>
    <row r="38" spans="1:10">
      <c r="A38" s="38">
        <f t="shared" si="0"/>
        <v>35</v>
      </c>
      <c r="B38" s="38" t="s">
        <v>427</v>
      </c>
      <c r="C38" s="38" t="s">
        <v>163</v>
      </c>
      <c r="D38" s="38" t="s">
        <v>164</v>
      </c>
      <c r="E38" s="51" t="s">
        <v>439</v>
      </c>
      <c r="F38" s="41" t="s">
        <v>428</v>
      </c>
      <c r="G38" s="42">
        <f>VLOOKUP(B38,'[1]Danh sách Tổng'!$B$21:$I$73,8,0)</f>
        <v>44538</v>
      </c>
      <c r="H38" s="128" t="s">
        <v>338</v>
      </c>
      <c r="I38" s="128" t="s">
        <v>352</v>
      </c>
      <c r="J38" s="129" t="s">
        <v>97</v>
      </c>
    </row>
    <row r="39" spans="1:10">
      <c r="A39" s="38">
        <f t="shared" si="0"/>
        <v>36</v>
      </c>
      <c r="B39" s="38" t="s">
        <v>165</v>
      </c>
      <c r="C39" s="38" t="s">
        <v>166</v>
      </c>
      <c r="D39" s="38" t="s">
        <v>167</v>
      </c>
      <c r="E39" s="51" t="s">
        <v>441</v>
      </c>
      <c r="F39" s="41" t="s">
        <v>429</v>
      </c>
      <c r="G39" s="42">
        <f>VLOOKUP(B39,'[1]Danh sách Tổng'!$B$21:$I$73,8,0)</f>
        <v>44267</v>
      </c>
      <c r="H39" s="128" t="s">
        <v>338</v>
      </c>
      <c r="I39" s="128" t="s">
        <v>352</v>
      </c>
      <c r="J39" s="129" t="s">
        <v>97</v>
      </c>
    </row>
    <row r="40" spans="1:10">
      <c r="A40" s="38">
        <f t="shared" si="0"/>
        <v>37</v>
      </c>
      <c r="B40" s="38" t="s">
        <v>430</v>
      </c>
      <c r="C40" s="38" t="s">
        <v>168</v>
      </c>
      <c r="D40" s="38" t="s">
        <v>587</v>
      </c>
      <c r="E40" s="51" t="s">
        <v>443</v>
      </c>
      <c r="F40" s="41" t="s">
        <v>431</v>
      </c>
      <c r="G40" s="42"/>
      <c r="H40" s="128" t="s">
        <v>339</v>
      </c>
      <c r="I40" s="128" t="s">
        <v>338</v>
      </c>
      <c r="J40" s="129" t="s">
        <v>97</v>
      </c>
    </row>
    <row r="41" spans="1:10">
      <c r="A41" s="38">
        <f t="shared" si="0"/>
        <v>38</v>
      </c>
      <c r="B41" s="38" t="s">
        <v>171</v>
      </c>
      <c r="C41" s="38" t="s">
        <v>172</v>
      </c>
      <c r="D41" s="38" t="s">
        <v>588</v>
      </c>
      <c r="E41" s="51" t="s">
        <v>380</v>
      </c>
      <c r="F41" s="41" t="s">
        <v>432</v>
      </c>
      <c r="G41" s="42">
        <f>VLOOKUP(B41,'[1]Danh sách Tổng'!$B$21:$I$73,8,0)</f>
        <v>44571</v>
      </c>
      <c r="H41" s="128" t="s">
        <v>339</v>
      </c>
      <c r="I41" s="128" t="s">
        <v>338</v>
      </c>
      <c r="J41" s="129" t="s">
        <v>97</v>
      </c>
    </row>
    <row r="42" spans="1:10">
      <c r="A42" s="38">
        <f t="shared" si="0"/>
        <v>39</v>
      </c>
      <c r="B42" s="38" t="s">
        <v>173</v>
      </c>
      <c r="C42" s="38" t="s">
        <v>174</v>
      </c>
      <c r="D42" s="38" t="s">
        <v>588</v>
      </c>
      <c r="E42" s="51" t="s">
        <v>380</v>
      </c>
      <c r="F42" s="41" t="s">
        <v>433</v>
      </c>
      <c r="G42" s="42">
        <f>VLOOKUP(B42,'[1]Danh sách Tổng'!$B$21:$I$73,8,0)</f>
        <v>44624</v>
      </c>
      <c r="H42" s="128" t="s">
        <v>338</v>
      </c>
      <c r="I42" s="128" t="s">
        <v>352</v>
      </c>
      <c r="J42" s="129" t="s">
        <v>97</v>
      </c>
    </row>
    <row r="43" spans="1:10">
      <c r="A43" s="38">
        <f t="shared" si="0"/>
        <v>40</v>
      </c>
      <c r="B43" s="38" t="s">
        <v>175</v>
      </c>
      <c r="C43" s="38" t="s">
        <v>176</v>
      </c>
      <c r="D43" s="38" t="s">
        <v>177</v>
      </c>
      <c r="E43" s="51" t="s">
        <v>434</v>
      </c>
      <c r="F43" s="41" t="s">
        <v>435</v>
      </c>
      <c r="G43" s="42">
        <f>VLOOKUP(B43,'[1]Danh sách Tổng'!$B$21:$I$73,8,0)</f>
        <v>44697</v>
      </c>
      <c r="H43" s="128" t="s">
        <v>339</v>
      </c>
      <c r="I43" s="128" t="s">
        <v>338</v>
      </c>
      <c r="J43" s="129" t="s">
        <v>97</v>
      </c>
    </row>
    <row r="44" spans="1:10">
      <c r="A44" s="38">
        <f t="shared" si="0"/>
        <v>41</v>
      </c>
      <c r="B44" s="38" t="s">
        <v>436</v>
      </c>
      <c r="C44" s="38" t="s">
        <v>169</v>
      </c>
      <c r="D44" s="38" t="s">
        <v>170</v>
      </c>
      <c r="E44" s="51" t="s">
        <v>437</v>
      </c>
      <c r="F44" s="41" t="s">
        <v>438</v>
      </c>
      <c r="G44" s="42">
        <f>VLOOKUP(B44,'[1]Danh sách Tổng'!$B$21:$I$73,8,0)</f>
        <v>44697</v>
      </c>
      <c r="H44" s="128" t="s">
        <v>338</v>
      </c>
      <c r="I44" s="128" t="s">
        <v>352</v>
      </c>
      <c r="J44" s="129" t="s">
        <v>97</v>
      </c>
    </row>
    <row r="45" spans="1:10">
      <c r="A45" s="38">
        <f t="shared" si="0"/>
        <v>42</v>
      </c>
      <c r="B45" s="38" t="s">
        <v>182</v>
      </c>
      <c r="C45" s="38" t="s">
        <v>183</v>
      </c>
      <c r="D45" s="38" t="s">
        <v>184</v>
      </c>
      <c r="E45" s="51" t="s">
        <v>439</v>
      </c>
      <c r="F45" s="41" t="s">
        <v>440</v>
      </c>
      <c r="G45" s="42">
        <v>44697</v>
      </c>
      <c r="H45" s="128" t="s">
        <v>339</v>
      </c>
      <c r="I45" s="128" t="s">
        <v>338</v>
      </c>
      <c r="J45" s="129" t="s">
        <v>97</v>
      </c>
    </row>
    <row r="46" spans="1:10">
      <c r="A46" s="38">
        <f t="shared" si="0"/>
        <v>43</v>
      </c>
      <c r="B46" s="38" t="s">
        <v>185</v>
      </c>
      <c r="C46" s="38" t="s">
        <v>186</v>
      </c>
      <c r="D46" s="38" t="s">
        <v>187</v>
      </c>
      <c r="E46" s="51" t="s">
        <v>441</v>
      </c>
      <c r="F46" s="41" t="s">
        <v>442</v>
      </c>
      <c r="G46" s="42">
        <v>44697</v>
      </c>
      <c r="H46" s="128" t="s">
        <v>338</v>
      </c>
      <c r="I46" s="128" t="s">
        <v>352</v>
      </c>
      <c r="J46" s="129" t="s">
        <v>97</v>
      </c>
    </row>
    <row r="47" spans="1:10">
      <c r="A47" s="38">
        <f t="shared" si="0"/>
        <v>44</v>
      </c>
      <c r="B47" s="38" t="s">
        <v>189</v>
      </c>
      <c r="C47" s="38" t="s">
        <v>190</v>
      </c>
      <c r="D47" s="38" t="s">
        <v>191</v>
      </c>
      <c r="E47" s="51" t="s">
        <v>443</v>
      </c>
      <c r="F47" s="41" t="s">
        <v>444</v>
      </c>
      <c r="G47" s="42"/>
      <c r="H47" s="128" t="s">
        <v>339</v>
      </c>
      <c r="I47" s="128" t="s">
        <v>338</v>
      </c>
      <c r="J47" s="129" t="s">
        <v>97</v>
      </c>
    </row>
    <row r="48" spans="1:10">
      <c r="A48" s="38">
        <f t="shared" si="0"/>
        <v>45</v>
      </c>
      <c r="B48" s="38" t="s">
        <v>445</v>
      </c>
      <c r="C48" s="38" t="s">
        <v>446</v>
      </c>
      <c r="D48" s="38" t="s">
        <v>195</v>
      </c>
      <c r="E48" s="51" t="s">
        <v>447</v>
      </c>
      <c r="F48" s="41" t="s">
        <v>448</v>
      </c>
      <c r="G48" s="42">
        <v>44699</v>
      </c>
      <c r="H48" s="128" t="s">
        <v>377</v>
      </c>
      <c r="I48" s="128" t="s">
        <v>449</v>
      </c>
      <c r="J48" s="129" t="s">
        <v>97</v>
      </c>
    </row>
    <row r="49" spans="1:10">
      <c r="A49" s="38">
        <f t="shared" si="0"/>
        <v>46</v>
      </c>
      <c r="B49" s="38" t="s">
        <v>450</v>
      </c>
      <c r="C49" s="46" t="s">
        <v>196</v>
      </c>
      <c r="D49" s="38" t="s">
        <v>197</v>
      </c>
      <c r="E49" s="51" t="s">
        <v>380</v>
      </c>
      <c r="F49" s="41" t="s">
        <v>451</v>
      </c>
      <c r="G49" s="42"/>
      <c r="H49" s="128" t="s">
        <v>339</v>
      </c>
      <c r="I49" s="128" t="s">
        <v>377</v>
      </c>
      <c r="J49" s="129" t="s">
        <v>97</v>
      </c>
    </row>
    <row r="50" spans="1:10">
      <c r="A50" s="38">
        <f t="shared" si="0"/>
        <v>47</v>
      </c>
      <c r="B50" s="38" t="s">
        <v>192</v>
      </c>
      <c r="C50" s="38" t="s">
        <v>193</v>
      </c>
      <c r="D50" s="38" t="s">
        <v>194</v>
      </c>
      <c r="E50" s="51" t="s">
        <v>380</v>
      </c>
      <c r="F50" s="41" t="s">
        <v>452</v>
      </c>
      <c r="G50" s="42"/>
      <c r="H50" s="128" t="s">
        <v>453</v>
      </c>
      <c r="I50" s="128" t="s">
        <v>454</v>
      </c>
      <c r="J50" s="129" t="s">
        <v>97</v>
      </c>
    </row>
    <row r="51" spans="1:10">
      <c r="A51" s="38">
        <f t="shared" si="0"/>
        <v>48</v>
      </c>
      <c r="B51" s="38" t="s">
        <v>179</v>
      </c>
      <c r="C51" s="38" t="s">
        <v>180</v>
      </c>
      <c r="D51" s="38" t="s">
        <v>181</v>
      </c>
      <c r="E51" s="51" t="s">
        <v>455</v>
      </c>
      <c r="F51" s="41" t="s">
        <v>456</v>
      </c>
      <c r="G51" s="42">
        <v>44697</v>
      </c>
      <c r="H51" s="128" t="s">
        <v>339</v>
      </c>
      <c r="I51" s="128" t="s">
        <v>338</v>
      </c>
      <c r="J51" s="129" t="s">
        <v>97</v>
      </c>
    </row>
    <row r="52" spans="1:10">
      <c r="A52" s="38">
        <f t="shared" si="0"/>
        <v>49</v>
      </c>
      <c r="B52" s="38" t="s">
        <v>457</v>
      </c>
      <c r="C52" s="38" t="s">
        <v>458</v>
      </c>
      <c r="D52" s="38" t="s">
        <v>201</v>
      </c>
      <c r="E52" s="51" t="s">
        <v>459</v>
      </c>
      <c r="F52" s="41" t="s">
        <v>460</v>
      </c>
      <c r="G52" s="42"/>
      <c r="H52" s="128" t="s">
        <v>338</v>
      </c>
      <c r="I52" s="128" t="s">
        <v>352</v>
      </c>
      <c r="J52" s="129" t="s">
        <v>97</v>
      </c>
    </row>
    <row r="53" spans="1:10">
      <c r="A53" s="38">
        <f t="shared" si="0"/>
        <v>50</v>
      </c>
      <c r="B53" s="38" t="s">
        <v>205</v>
      </c>
      <c r="C53" s="38" t="s">
        <v>203</v>
      </c>
      <c r="D53" s="38" t="s">
        <v>204</v>
      </c>
      <c r="E53" s="51" t="s">
        <v>461</v>
      </c>
      <c r="F53" s="41" t="s">
        <v>462</v>
      </c>
      <c r="G53" s="42"/>
      <c r="H53" s="128" t="s">
        <v>352</v>
      </c>
      <c r="I53" s="128" t="s">
        <v>338</v>
      </c>
      <c r="J53" s="129" t="s">
        <v>97</v>
      </c>
    </row>
    <row r="54" spans="1:10">
      <c r="A54" s="38">
        <f t="shared" si="0"/>
        <v>51</v>
      </c>
      <c r="B54" s="38" t="s">
        <v>463</v>
      </c>
      <c r="C54" s="38" t="s">
        <v>464</v>
      </c>
      <c r="D54" s="38" t="s">
        <v>465</v>
      </c>
      <c r="E54" s="51" t="s">
        <v>466</v>
      </c>
      <c r="F54" s="41" t="s">
        <v>467</v>
      </c>
      <c r="G54" s="42"/>
      <c r="H54" s="128" t="s">
        <v>352</v>
      </c>
      <c r="I54" s="128" t="s">
        <v>338</v>
      </c>
      <c r="J54" s="129" t="s">
        <v>97</v>
      </c>
    </row>
    <row r="55" spans="1:10">
      <c r="A55" s="38">
        <f t="shared" si="0"/>
        <v>52</v>
      </c>
      <c r="B55" s="38" t="s">
        <v>468</v>
      </c>
      <c r="C55" s="38" t="s">
        <v>469</v>
      </c>
      <c r="D55" s="38" t="s">
        <v>470</v>
      </c>
      <c r="E55" s="51" t="s">
        <v>592</v>
      </c>
      <c r="F55" s="41"/>
      <c r="G55" s="45" t="s">
        <v>471</v>
      </c>
      <c r="H55" s="128" t="s">
        <v>407</v>
      </c>
      <c r="I55" s="128" t="s">
        <v>449</v>
      </c>
      <c r="J55" s="129" t="s">
        <v>97</v>
      </c>
    </row>
    <row r="56" spans="1:10">
      <c r="A56" s="38">
        <f t="shared" si="0"/>
        <v>53</v>
      </c>
      <c r="B56" s="38" t="s">
        <v>472</v>
      </c>
      <c r="C56" s="38" t="s">
        <v>473</v>
      </c>
      <c r="D56" s="38" t="s">
        <v>202</v>
      </c>
      <c r="E56" s="51" t="s">
        <v>593</v>
      </c>
      <c r="F56" s="41"/>
      <c r="G56" s="45" t="s">
        <v>471</v>
      </c>
      <c r="H56" s="128" t="s">
        <v>474</v>
      </c>
      <c r="I56" s="128" t="s">
        <v>475</v>
      </c>
      <c r="J56" s="129" t="s">
        <v>97</v>
      </c>
    </row>
    <row r="57" spans="1:10" ht="15.5">
      <c r="A57" s="38">
        <f t="shared" si="0"/>
        <v>54</v>
      </c>
      <c r="B57" s="38" t="s">
        <v>476</v>
      </c>
      <c r="C57" s="38" t="s">
        <v>477</v>
      </c>
      <c r="D57" s="38" t="s">
        <v>478</v>
      </c>
      <c r="E57" s="117" t="s">
        <v>589</v>
      </c>
      <c r="F57" s="41"/>
      <c r="G57" s="45" t="s">
        <v>404</v>
      </c>
      <c r="H57" s="128" t="s">
        <v>390</v>
      </c>
      <c r="I57" s="128" t="s">
        <v>391</v>
      </c>
      <c r="J57" s="129" t="s">
        <v>261</v>
      </c>
    </row>
    <row r="58" spans="1:10" s="122" customFormat="1">
      <c r="A58" s="47"/>
      <c r="B58" s="47"/>
      <c r="C58" s="47"/>
      <c r="D58" s="47"/>
      <c r="E58" s="47"/>
      <c r="F58" s="47"/>
      <c r="G58" s="47"/>
      <c r="H58" s="131"/>
      <c r="I58" s="131"/>
      <c r="J58" s="132"/>
    </row>
    <row r="59" spans="1:10" ht="15.5">
      <c r="A59" s="31">
        <v>1</v>
      </c>
      <c r="B59" s="27" t="s">
        <v>213</v>
      </c>
      <c r="C59" s="28" t="s">
        <v>211</v>
      </c>
      <c r="D59" s="29" t="s">
        <v>212</v>
      </c>
      <c r="E59" s="109" t="s">
        <v>562</v>
      </c>
      <c r="F59" s="31"/>
      <c r="G59" s="31"/>
      <c r="H59" s="133" t="s">
        <v>480</v>
      </c>
      <c r="I59" s="133" t="s">
        <v>479</v>
      </c>
      <c r="J59" s="129" t="s">
        <v>210</v>
      </c>
    </row>
    <row r="60" spans="1:10" ht="15.5">
      <c r="A60" s="31">
        <v>2</v>
      </c>
      <c r="B60" s="28"/>
      <c r="C60" s="28"/>
      <c r="D60" s="30" t="s">
        <v>214</v>
      </c>
      <c r="E60" s="109" t="s">
        <v>563</v>
      </c>
      <c r="F60" s="31"/>
      <c r="G60" s="31"/>
      <c r="H60" s="133"/>
      <c r="I60" s="133"/>
      <c r="J60" s="129"/>
    </row>
    <row r="61" spans="1:10" s="123" customFormat="1" ht="15.5">
      <c r="A61" s="38">
        <v>3</v>
      </c>
      <c r="B61" s="57" t="s">
        <v>217</v>
      </c>
      <c r="C61" s="57" t="s">
        <v>215</v>
      </c>
      <c r="D61" s="118" t="s">
        <v>216</v>
      </c>
      <c r="E61" s="119" t="s">
        <v>564</v>
      </c>
      <c r="F61" s="38"/>
      <c r="G61" s="38"/>
      <c r="H61" s="128" t="s">
        <v>479</v>
      </c>
      <c r="I61" s="128" t="s">
        <v>480</v>
      </c>
      <c r="J61" s="134" t="s">
        <v>210</v>
      </c>
    </row>
    <row r="62" spans="1:10" ht="15.5">
      <c r="A62" s="31">
        <v>4</v>
      </c>
      <c r="B62" s="27" t="s">
        <v>220</v>
      </c>
      <c r="C62" s="28" t="s">
        <v>218</v>
      </c>
      <c r="D62" s="29" t="s">
        <v>219</v>
      </c>
      <c r="E62" s="109" t="s">
        <v>565</v>
      </c>
      <c r="F62" s="31"/>
      <c r="G62" s="31"/>
      <c r="H62" s="133" t="s">
        <v>481</v>
      </c>
      <c r="I62" s="133" t="s">
        <v>482</v>
      </c>
      <c r="J62" s="129" t="s">
        <v>210</v>
      </c>
    </row>
    <row r="63" spans="1:10" ht="15.5">
      <c r="A63" s="31">
        <v>5</v>
      </c>
      <c r="B63" s="27" t="s">
        <v>223</v>
      </c>
      <c r="C63" s="28" t="s">
        <v>221</v>
      </c>
      <c r="D63" s="29" t="s">
        <v>222</v>
      </c>
      <c r="E63" s="109" t="s">
        <v>566</v>
      </c>
      <c r="F63" s="31"/>
      <c r="G63" s="31"/>
      <c r="H63" s="133" t="s">
        <v>479</v>
      </c>
      <c r="I63" s="133" t="s">
        <v>480</v>
      </c>
      <c r="J63" s="129" t="s">
        <v>210</v>
      </c>
    </row>
    <row r="64" spans="1:10" ht="15.5">
      <c r="A64" s="31">
        <v>6</v>
      </c>
      <c r="B64" s="27" t="s">
        <v>226</v>
      </c>
      <c r="C64" s="28" t="s">
        <v>224</v>
      </c>
      <c r="D64" s="29" t="s">
        <v>225</v>
      </c>
      <c r="E64" s="109" t="s">
        <v>567</v>
      </c>
      <c r="F64" s="31"/>
      <c r="G64" s="31"/>
      <c r="H64" s="133"/>
      <c r="I64" s="133" t="s">
        <v>483</v>
      </c>
      <c r="J64" s="129" t="s">
        <v>210</v>
      </c>
    </row>
    <row r="65" spans="1:10" ht="15.5">
      <c r="A65" s="31">
        <v>7</v>
      </c>
      <c r="B65" s="31" t="s">
        <v>229</v>
      </c>
      <c r="C65" s="28" t="s">
        <v>227</v>
      </c>
      <c r="D65" s="29" t="s">
        <v>228</v>
      </c>
      <c r="E65" s="109" t="s">
        <v>568</v>
      </c>
      <c r="F65" s="31"/>
      <c r="G65" s="31"/>
      <c r="H65" s="133"/>
      <c r="I65" s="133"/>
      <c r="J65" s="129"/>
    </row>
    <row r="66" spans="1:10" ht="15.5">
      <c r="A66" s="31">
        <v>8</v>
      </c>
      <c r="B66" s="31" t="s">
        <v>232</v>
      </c>
      <c r="C66" s="27" t="s">
        <v>230</v>
      </c>
      <c r="D66" s="29" t="s">
        <v>231</v>
      </c>
      <c r="E66" s="109" t="s">
        <v>569</v>
      </c>
      <c r="F66" s="31"/>
      <c r="G66" s="31"/>
      <c r="H66" s="133" t="s">
        <v>485</v>
      </c>
      <c r="I66" s="133" t="s">
        <v>484</v>
      </c>
      <c r="J66" s="129" t="s">
        <v>210</v>
      </c>
    </row>
    <row r="67" spans="1:10" ht="15.5">
      <c r="A67" s="31">
        <v>9</v>
      </c>
      <c r="B67" s="28" t="s">
        <v>235</v>
      </c>
      <c r="C67" s="28" t="s">
        <v>233</v>
      </c>
      <c r="D67" s="29" t="s">
        <v>234</v>
      </c>
      <c r="E67" s="109" t="s">
        <v>570</v>
      </c>
      <c r="F67" s="31"/>
      <c r="G67" s="31"/>
      <c r="H67" s="133" t="s">
        <v>486</v>
      </c>
      <c r="I67" s="133" t="s">
        <v>487</v>
      </c>
      <c r="J67" s="129" t="s">
        <v>210</v>
      </c>
    </row>
    <row r="68" spans="1:10" ht="15.5">
      <c r="A68" s="31">
        <v>10</v>
      </c>
      <c r="B68" s="27" t="s">
        <v>238</v>
      </c>
      <c r="C68" s="28" t="s">
        <v>236</v>
      </c>
      <c r="D68" s="29" t="s">
        <v>237</v>
      </c>
      <c r="E68" s="109" t="s">
        <v>571</v>
      </c>
      <c r="F68" s="31"/>
      <c r="G68" s="31"/>
      <c r="H68" s="133" t="s">
        <v>488</v>
      </c>
      <c r="I68" s="133" t="s">
        <v>489</v>
      </c>
      <c r="J68" s="129" t="s">
        <v>210</v>
      </c>
    </row>
    <row r="69" spans="1:10" ht="15.5">
      <c r="A69" s="31">
        <v>11</v>
      </c>
      <c r="B69" s="28" t="s">
        <v>241</v>
      </c>
      <c r="C69" s="28" t="s">
        <v>239</v>
      </c>
      <c r="D69" s="29" t="s">
        <v>240</v>
      </c>
      <c r="E69" s="109" t="s">
        <v>572</v>
      </c>
      <c r="F69" s="31"/>
      <c r="G69" s="31"/>
      <c r="H69" s="133" t="s">
        <v>487</v>
      </c>
      <c r="I69" s="133" t="s">
        <v>480</v>
      </c>
      <c r="J69" s="129" t="s">
        <v>210</v>
      </c>
    </row>
    <row r="70" spans="1:10" ht="15.5">
      <c r="A70" s="31">
        <v>12</v>
      </c>
      <c r="B70" s="28" t="s">
        <v>244</v>
      </c>
      <c r="C70" s="28" t="s">
        <v>242</v>
      </c>
      <c r="D70" s="29" t="s">
        <v>243</v>
      </c>
      <c r="E70" s="109" t="s">
        <v>573</v>
      </c>
      <c r="F70" s="31"/>
      <c r="G70" s="31"/>
      <c r="H70" s="133" t="s">
        <v>487</v>
      </c>
      <c r="I70" s="133" t="s">
        <v>480</v>
      </c>
      <c r="J70" s="129" t="s">
        <v>210</v>
      </c>
    </row>
    <row r="71" spans="1:10" ht="15.5">
      <c r="A71" s="31">
        <v>13</v>
      </c>
      <c r="B71" s="31" t="s">
        <v>247</v>
      </c>
      <c r="C71" s="28" t="s">
        <v>245</v>
      </c>
      <c r="D71" s="29" t="s">
        <v>246</v>
      </c>
      <c r="E71" s="109" t="s">
        <v>574</v>
      </c>
      <c r="F71" s="31"/>
      <c r="G71" s="31"/>
      <c r="H71" s="133"/>
      <c r="I71" s="133"/>
      <c r="J71" s="129"/>
    </row>
    <row r="72" spans="1:10" ht="15.5">
      <c r="A72" s="31">
        <v>14</v>
      </c>
      <c r="B72" s="28" t="s">
        <v>250</v>
      </c>
      <c r="C72" s="28" t="s">
        <v>248</v>
      </c>
      <c r="D72" s="29" t="s">
        <v>249</v>
      </c>
      <c r="E72" s="109" t="s">
        <v>575</v>
      </c>
      <c r="F72" s="31"/>
      <c r="G72" s="31"/>
      <c r="H72" s="133" t="s">
        <v>479</v>
      </c>
      <c r="I72" s="133" t="s">
        <v>480</v>
      </c>
      <c r="J72" s="129" t="s">
        <v>210</v>
      </c>
    </row>
    <row r="73" spans="1:10" ht="15.5">
      <c r="A73" s="31">
        <v>15</v>
      </c>
      <c r="B73" s="28"/>
      <c r="C73" s="28"/>
      <c r="D73" s="29" t="s">
        <v>251</v>
      </c>
      <c r="E73" s="109" t="s">
        <v>576</v>
      </c>
      <c r="F73" s="31"/>
      <c r="G73" s="31"/>
      <c r="H73" s="133"/>
      <c r="I73" s="133"/>
      <c r="J73" s="129"/>
    </row>
    <row r="74" spans="1:10" ht="15.5">
      <c r="A74" s="31">
        <v>16</v>
      </c>
      <c r="B74" s="27"/>
      <c r="C74" s="28"/>
      <c r="D74" s="29" t="s">
        <v>252</v>
      </c>
      <c r="E74" s="110" t="s">
        <v>577</v>
      </c>
      <c r="F74" s="31"/>
      <c r="G74" s="31"/>
      <c r="H74" s="133"/>
      <c r="I74" s="133"/>
      <c r="J74" s="129"/>
    </row>
    <row r="75" spans="1:10" ht="15.5">
      <c r="A75" s="31">
        <v>17</v>
      </c>
      <c r="B75" s="28"/>
      <c r="C75" s="27"/>
      <c r="D75" s="29" t="s">
        <v>253</v>
      </c>
      <c r="E75" s="109" t="s">
        <v>578</v>
      </c>
      <c r="F75" s="31"/>
      <c r="G75" s="31"/>
      <c r="H75" s="133"/>
      <c r="I75" s="133"/>
      <c r="J75" s="129"/>
    </row>
    <row r="76" spans="1:10" ht="15.5">
      <c r="A76" s="31">
        <v>18</v>
      </c>
      <c r="B76" s="28"/>
      <c r="C76" s="27"/>
      <c r="D76" s="30" t="s">
        <v>254</v>
      </c>
      <c r="E76" s="111" t="s">
        <v>579</v>
      </c>
      <c r="F76" s="31"/>
      <c r="G76" s="31"/>
      <c r="H76" s="133"/>
      <c r="I76" s="133"/>
      <c r="J76" s="129"/>
    </row>
    <row r="77" spans="1:10" ht="15.5">
      <c r="A77" s="31">
        <v>19</v>
      </c>
      <c r="B77" s="28" t="s">
        <v>257</v>
      </c>
      <c r="C77" s="27" t="s">
        <v>255</v>
      </c>
      <c r="D77" s="29" t="s">
        <v>256</v>
      </c>
      <c r="E77" s="111" t="s">
        <v>580</v>
      </c>
      <c r="F77" s="31"/>
      <c r="G77" s="31"/>
      <c r="H77" s="133" t="s">
        <v>480</v>
      </c>
      <c r="I77" s="133" t="s">
        <v>479</v>
      </c>
      <c r="J77" s="129" t="s">
        <v>210</v>
      </c>
    </row>
    <row r="78" spans="1:10" ht="15.5">
      <c r="A78" s="31">
        <v>20</v>
      </c>
      <c r="B78" s="31" t="s">
        <v>260</v>
      </c>
      <c r="C78" s="27" t="s">
        <v>258</v>
      </c>
      <c r="D78" s="30" t="s">
        <v>259</v>
      </c>
      <c r="E78" s="112" t="s">
        <v>581</v>
      </c>
      <c r="F78" s="31"/>
      <c r="G78" s="31"/>
      <c r="H78" s="133" t="s">
        <v>490</v>
      </c>
      <c r="I78" s="133" t="s">
        <v>491</v>
      </c>
      <c r="J78" s="129" t="s">
        <v>210</v>
      </c>
    </row>
    <row r="79" spans="1:10" ht="15.5">
      <c r="A79" s="113"/>
      <c r="B79" s="113"/>
      <c r="C79" s="114" t="s">
        <v>584</v>
      </c>
      <c r="D79" s="115" t="s">
        <v>583</v>
      </c>
      <c r="E79" s="112" t="s">
        <v>582</v>
      </c>
      <c r="F79" s="113"/>
      <c r="G79" s="113"/>
      <c r="H79" s="135"/>
      <c r="I79" s="136"/>
      <c r="J79" s="137"/>
    </row>
    <row r="80" spans="1:10" s="122" customFormat="1">
      <c r="A80" s="47"/>
      <c r="B80" s="47"/>
      <c r="C80" s="47"/>
      <c r="D80" s="47"/>
      <c r="E80" s="47"/>
      <c r="F80" s="47"/>
      <c r="G80" s="47"/>
      <c r="H80" s="138"/>
      <c r="I80" s="131"/>
      <c r="J80" s="132"/>
    </row>
    <row r="81" spans="1:10" ht="20" customHeight="1">
      <c r="A81" s="27">
        <v>1</v>
      </c>
      <c r="B81" s="53" t="s">
        <v>265</v>
      </c>
      <c r="C81" s="32" t="s">
        <v>263</v>
      </c>
      <c r="D81" s="33" t="s">
        <v>264</v>
      </c>
      <c r="E81" s="66" t="s">
        <v>540</v>
      </c>
      <c r="F81" s="21" t="s">
        <v>492</v>
      </c>
      <c r="G81" s="34">
        <v>44866</v>
      </c>
      <c r="H81" s="133" t="s">
        <v>515</v>
      </c>
      <c r="I81" s="139" t="s">
        <v>493</v>
      </c>
      <c r="J81" s="140" t="s">
        <v>527</v>
      </c>
    </row>
    <row r="82" spans="1:10" ht="17" customHeight="1">
      <c r="A82" s="27">
        <v>2</v>
      </c>
      <c r="B82" s="54" t="s">
        <v>528</v>
      </c>
      <c r="C82" s="32" t="s">
        <v>266</v>
      </c>
      <c r="D82" s="33" t="s">
        <v>267</v>
      </c>
      <c r="E82" s="66" t="s">
        <v>543</v>
      </c>
      <c r="F82" s="21" t="s">
        <v>494</v>
      </c>
      <c r="G82" s="34">
        <v>44866</v>
      </c>
      <c r="H82" s="133" t="s">
        <v>480</v>
      </c>
      <c r="I82" s="139" t="s">
        <v>487</v>
      </c>
      <c r="J82" s="140" t="s">
        <v>527</v>
      </c>
    </row>
    <row r="83" spans="1:10" ht="18" customHeight="1">
      <c r="A83" s="27">
        <v>3</v>
      </c>
      <c r="B83" s="53" t="s">
        <v>270</v>
      </c>
      <c r="C83" s="32" t="s">
        <v>268</v>
      </c>
      <c r="D83" s="33" t="s">
        <v>269</v>
      </c>
      <c r="E83" s="66" t="s">
        <v>545</v>
      </c>
      <c r="F83" s="21" t="s">
        <v>495</v>
      </c>
      <c r="G83" s="34">
        <v>44866</v>
      </c>
      <c r="H83" s="133" t="s">
        <v>496</v>
      </c>
      <c r="I83" s="139" t="s">
        <v>497</v>
      </c>
      <c r="J83" s="140" t="s">
        <v>527</v>
      </c>
    </row>
    <row r="84" spans="1:10" ht="18" customHeight="1">
      <c r="A84" s="27">
        <v>4</v>
      </c>
      <c r="B84" s="54" t="s">
        <v>273</v>
      </c>
      <c r="C84" s="32" t="s">
        <v>271</v>
      </c>
      <c r="D84" s="33" t="s">
        <v>272</v>
      </c>
      <c r="E84" s="66" t="s">
        <v>553</v>
      </c>
      <c r="F84" s="21" t="s">
        <v>498</v>
      </c>
      <c r="G84" s="34">
        <v>44866</v>
      </c>
      <c r="H84" s="133" t="s">
        <v>499</v>
      </c>
      <c r="I84" s="139" t="s">
        <v>500</v>
      </c>
      <c r="J84" s="140" t="s">
        <v>527</v>
      </c>
    </row>
    <row r="85" spans="1:10" ht="20" customHeight="1">
      <c r="A85" s="27">
        <v>5</v>
      </c>
      <c r="B85" s="54" t="s">
        <v>274</v>
      </c>
      <c r="C85" s="32" t="s">
        <v>275</v>
      </c>
      <c r="D85" s="33" t="s">
        <v>276</v>
      </c>
      <c r="E85" s="66" t="s">
        <v>555</v>
      </c>
      <c r="F85" s="21" t="s">
        <v>501</v>
      </c>
      <c r="G85" s="34">
        <v>44866</v>
      </c>
      <c r="H85" s="133" t="s">
        <v>499</v>
      </c>
      <c r="I85" s="139" t="s">
        <v>500</v>
      </c>
      <c r="J85" s="140" t="s">
        <v>527</v>
      </c>
    </row>
    <row r="86" spans="1:10" ht="20" customHeight="1">
      <c r="A86" s="27">
        <v>6</v>
      </c>
      <c r="B86" s="48"/>
      <c r="C86" s="32"/>
      <c r="D86" s="33" t="s">
        <v>277</v>
      </c>
      <c r="E86" s="111" t="s">
        <v>594</v>
      </c>
      <c r="F86" s="22"/>
      <c r="G86" s="48"/>
      <c r="H86" s="133"/>
      <c r="I86" s="141"/>
      <c r="J86" s="140" t="s">
        <v>527</v>
      </c>
    </row>
    <row r="87" spans="1:10" ht="16" customHeight="1">
      <c r="A87" s="27">
        <v>7</v>
      </c>
      <c r="B87" s="48"/>
      <c r="C87" s="32"/>
      <c r="D87" s="33" t="s">
        <v>278</v>
      </c>
      <c r="E87" s="111" t="s">
        <v>551</v>
      </c>
      <c r="F87" s="22"/>
      <c r="G87" s="48"/>
      <c r="H87" s="133"/>
      <c r="I87" s="139"/>
      <c r="J87" s="140" t="s">
        <v>527</v>
      </c>
    </row>
    <row r="88" spans="1:10" ht="19" customHeight="1">
      <c r="A88" s="27">
        <v>8</v>
      </c>
      <c r="B88" s="48" t="s">
        <v>281</v>
      </c>
      <c r="C88" s="32" t="s">
        <v>279</v>
      </c>
      <c r="D88" s="33" t="s">
        <v>280</v>
      </c>
      <c r="E88" s="66" t="s">
        <v>541</v>
      </c>
      <c r="F88" s="21" t="s">
        <v>502</v>
      </c>
      <c r="G88" s="34">
        <v>44866</v>
      </c>
      <c r="H88" s="133" t="s">
        <v>481</v>
      </c>
      <c r="I88" s="139" t="s">
        <v>503</v>
      </c>
      <c r="J88" s="140" t="s">
        <v>527</v>
      </c>
    </row>
    <row r="89" spans="1:10" ht="16" customHeight="1">
      <c r="A89" s="27">
        <v>9</v>
      </c>
      <c r="B89" s="55" t="s">
        <v>284</v>
      </c>
      <c r="C89" s="32" t="s">
        <v>282</v>
      </c>
      <c r="D89" s="33" t="s">
        <v>283</v>
      </c>
      <c r="E89" s="66" t="s">
        <v>556</v>
      </c>
      <c r="F89" s="21" t="s">
        <v>504</v>
      </c>
      <c r="G89" s="34">
        <v>44866</v>
      </c>
      <c r="H89" s="133" t="s">
        <v>505</v>
      </c>
      <c r="I89" s="141" t="s">
        <v>506</v>
      </c>
      <c r="J89" s="140" t="s">
        <v>527</v>
      </c>
    </row>
    <row r="90" spans="1:10" ht="21" customHeight="1">
      <c r="A90" s="27">
        <v>10</v>
      </c>
      <c r="B90" s="53" t="s">
        <v>287</v>
      </c>
      <c r="C90" s="146" t="s">
        <v>285</v>
      </c>
      <c r="D90" s="33" t="s">
        <v>286</v>
      </c>
      <c r="E90" s="66" t="s">
        <v>547</v>
      </c>
      <c r="F90" s="21" t="s">
        <v>507</v>
      </c>
      <c r="G90" s="34">
        <v>44866</v>
      </c>
      <c r="H90" s="133"/>
      <c r="I90" s="141" t="s">
        <v>508</v>
      </c>
      <c r="J90" s="140" t="s">
        <v>527</v>
      </c>
    </row>
    <row r="91" spans="1:10" ht="19" customHeight="1">
      <c r="A91" s="27">
        <v>11</v>
      </c>
      <c r="B91" s="53" t="s">
        <v>287</v>
      </c>
      <c r="C91" s="146" t="s">
        <v>285</v>
      </c>
      <c r="D91" s="33" t="s">
        <v>288</v>
      </c>
      <c r="E91" s="66" t="s">
        <v>547</v>
      </c>
      <c r="F91" s="21" t="s">
        <v>507</v>
      </c>
      <c r="G91" s="34">
        <v>44866</v>
      </c>
      <c r="H91" s="133" t="s">
        <v>509</v>
      </c>
      <c r="I91" s="141" t="s">
        <v>510</v>
      </c>
      <c r="J91" s="140" t="s">
        <v>527</v>
      </c>
    </row>
    <row r="92" spans="1:10" ht="22" customHeight="1">
      <c r="A92" s="27">
        <v>12</v>
      </c>
      <c r="B92" s="48"/>
      <c r="C92" s="32"/>
      <c r="D92" s="33" t="s">
        <v>289</v>
      </c>
      <c r="E92" s="120" t="s">
        <v>595</v>
      </c>
      <c r="F92" s="22"/>
      <c r="G92" s="48"/>
      <c r="H92" s="133"/>
      <c r="I92" s="141"/>
      <c r="J92" s="140" t="s">
        <v>527</v>
      </c>
    </row>
    <row r="93" spans="1:10" ht="20" customHeight="1">
      <c r="A93" s="27">
        <v>13</v>
      </c>
      <c r="B93" s="48"/>
      <c r="C93" s="32"/>
      <c r="D93" s="33" t="s">
        <v>290</v>
      </c>
      <c r="E93" s="120" t="s">
        <v>596</v>
      </c>
      <c r="F93" s="22"/>
      <c r="G93" s="48"/>
      <c r="H93" s="133"/>
      <c r="I93" s="141"/>
      <c r="J93" s="140" t="s">
        <v>527</v>
      </c>
    </row>
    <row r="94" spans="1:10" ht="19" customHeight="1">
      <c r="A94" s="27">
        <v>14</v>
      </c>
      <c r="B94" s="48"/>
      <c r="C94" s="32"/>
      <c r="D94" s="33" t="s">
        <v>291</v>
      </c>
      <c r="E94" s="120" t="s">
        <v>597</v>
      </c>
      <c r="F94" s="22"/>
      <c r="G94" s="48"/>
      <c r="H94" s="133"/>
      <c r="I94" s="141"/>
      <c r="J94" s="140" t="s">
        <v>527</v>
      </c>
    </row>
    <row r="95" spans="1:10" ht="18" customHeight="1">
      <c r="A95" s="27">
        <v>15</v>
      </c>
      <c r="B95" s="48"/>
      <c r="C95" s="32"/>
      <c r="D95" s="33" t="s">
        <v>292</v>
      </c>
      <c r="E95" s="120" t="s">
        <v>598</v>
      </c>
      <c r="F95" s="22"/>
      <c r="G95" s="48"/>
      <c r="H95" s="133"/>
      <c r="I95" s="141"/>
      <c r="J95" s="140" t="s">
        <v>527</v>
      </c>
    </row>
    <row r="96" spans="1:10" ht="18" customHeight="1">
      <c r="A96" s="27">
        <v>16</v>
      </c>
      <c r="B96" s="53" t="s">
        <v>295</v>
      </c>
      <c r="C96" s="35" t="s">
        <v>293</v>
      </c>
      <c r="D96" s="56" t="s">
        <v>294</v>
      </c>
      <c r="E96" s="66" t="s">
        <v>557</v>
      </c>
      <c r="F96" s="23" t="s">
        <v>511</v>
      </c>
      <c r="G96" s="36">
        <v>44868</v>
      </c>
      <c r="H96" s="133" t="s">
        <v>487</v>
      </c>
      <c r="I96" s="141" t="s">
        <v>480</v>
      </c>
      <c r="J96" s="140" t="s">
        <v>527</v>
      </c>
    </row>
    <row r="97" spans="1:10" ht="19" customHeight="1">
      <c r="A97" s="27">
        <v>17</v>
      </c>
      <c r="B97" s="48"/>
      <c r="C97" s="28"/>
      <c r="D97" s="29" t="s">
        <v>296</v>
      </c>
      <c r="E97" s="120" t="s">
        <v>599</v>
      </c>
      <c r="F97" s="22"/>
      <c r="G97" s="48"/>
      <c r="H97" s="133"/>
      <c r="I97" s="141"/>
      <c r="J97" s="140" t="s">
        <v>527</v>
      </c>
    </row>
    <row r="98" spans="1:10" ht="20" customHeight="1">
      <c r="A98" s="27">
        <v>18</v>
      </c>
      <c r="B98" s="53" t="s">
        <v>299</v>
      </c>
      <c r="C98" s="28" t="s">
        <v>297</v>
      </c>
      <c r="D98" s="29" t="s">
        <v>298</v>
      </c>
      <c r="E98" s="66" t="s">
        <v>549</v>
      </c>
      <c r="F98" s="23" t="s">
        <v>512</v>
      </c>
      <c r="G98" s="34">
        <v>44866</v>
      </c>
      <c r="H98" s="133" t="s">
        <v>486</v>
      </c>
      <c r="I98" s="141" t="s">
        <v>513</v>
      </c>
      <c r="J98" s="140" t="s">
        <v>527</v>
      </c>
    </row>
    <row r="99" spans="1:10" ht="23" customHeight="1">
      <c r="A99" s="27">
        <v>19</v>
      </c>
      <c r="B99" s="53" t="s">
        <v>302</v>
      </c>
      <c r="C99" s="57" t="s">
        <v>300</v>
      </c>
      <c r="D99" s="37" t="s">
        <v>301</v>
      </c>
      <c r="E99" s="66" t="s">
        <v>550</v>
      </c>
      <c r="F99" s="21" t="s">
        <v>514</v>
      </c>
      <c r="G99" s="36">
        <v>44868</v>
      </c>
      <c r="H99" s="133" t="s">
        <v>515</v>
      </c>
      <c r="I99" s="141" t="s">
        <v>479</v>
      </c>
      <c r="J99" s="140" t="s">
        <v>527</v>
      </c>
    </row>
    <row r="100" spans="1:10" ht="22" customHeight="1">
      <c r="A100" s="27">
        <v>20</v>
      </c>
      <c r="B100" s="53" t="s">
        <v>305</v>
      </c>
      <c r="C100" s="38" t="s">
        <v>303</v>
      </c>
      <c r="D100" s="37" t="s">
        <v>304</v>
      </c>
      <c r="E100" s="66" t="s">
        <v>558</v>
      </c>
      <c r="F100" s="21" t="s">
        <v>516</v>
      </c>
      <c r="G100" s="34">
        <v>44875</v>
      </c>
      <c r="H100" s="133" t="s">
        <v>486</v>
      </c>
      <c r="I100" s="141" t="s">
        <v>487</v>
      </c>
      <c r="J100" s="140" t="s">
        <v>527</v>
      </c>
    </row>
    <row r="101" spans="1:10" ht="18" customHeight="1">
      <c r="A101" s="27">
        <v>21</v>
      </c>
      <c r="B101" s="39" t="s">
        <v>308</v>
      </c>
      <c r="C101" s="145" t="s">
        <v>306</v>
      </c>
      <c r="D101" s="30" t="s">
        <v>307</v>
      </c>
      <c r="E101" s="66" t="s">
        <v>561</v>
      </c>
      <c r="F101" s="24"/>
      <c r="G101" s="36">
        <v>44883</v>
      </c>
      <c r="H101" s="133" t="s">
        <v>343</v>
      </c>
      <c r="I101" s="141" t="s">
        <v>517</v>
      </c>
      <c r="J101" s="140" t="s">
        <v>527</v>
      </c>
    </row>
    <row r="102" spans="1:10" ht="20" customHeight="1">
      <c r="A102" s="27">
        <v>22</v>
      </c>
      <c r="B102" s="39" t="s">
        <v>308</v>
      </c>
      <c r="C102" s="145" t="s">
        <v>306</v>
      </c>
      <c r="D102" s="30" t="s">
        <v>309</v>
      </c>
      <c r="E102" s="66" t="s">
        <v>560</v>
      </c>
      <c r="F102" s="24"/>
      <c r="G102" s="36">
        <v>44883</v>
      </c>
      <c r="H102" s="133" t="s">
        <v>518</v>
      </c>
      <c r="I102" s="141" t="s">
        <v>519</v>
      </c>
      <c r="J102" s="140" t="s">
        <v>527</v>
      </c>
    </row>
    <row r="103" spans="1:10" ht="19" customHeight="1">
      <c r="A103" s="27">
        <v>23</v>
      </c>
      <c r="B103" s="39"/>
      <c r="C103" s="38"/>
      <c r="D103" s="30" t="s">
        <v>310</v>
      </c>
      <c r="E103" s="120" t="s">
        <v>600</v>
      </c>
      <c r="F103" s="25"/>
      <c r="G103" s="39"/>
      <c r="H103" s="133"/>
      <c r="I103" s="141"/>
      <c r="J103" s="140" t="s">
        <v>527</v>
      </c>
    </row>
    <row r="104" spans="1:10" ht="21" customHeight="1">
      <c r="A104" s="27">
        <v>24</v>
      </c>
      <c r="B104" s="39" t="s">
        <v>313</v>
      </c>
      <c r="C104" s="38" t="s">
        <v>311</v>
      </c>
      <c r="D104" s="30" t="s">
        <v>312</v>
      </c>
      <c r="E104" s="66" t="s">
        <v>544</v>
      </c>
      <c r="F104" s="24"/>
      <c r="G104" s="36">
        <v>44883</v>
      </c>
      <c r="H104" s="133" t="s">
        <v>487</v>
      </c>
      <c r="I104" s="141" t="s">
        <v>480</v>
      </c>
      <c r="J104" s="140" t="s">
        <v>527</v>
      </c>
    </row>
    <row r="105" spans="1:10" ht="22" customHeight="1">
      <c r="A105" s="27">
        <v>25</v>
      </c>
      <c r="B105" s="39" t="s">
        <v>316</v>
      </c>
      <c r="C105" s="38" t="s">
        <v>314</v>
      </c>
      <c r="D105" s="30" t="s">
        <v>315</v>
      </c>
      <c r="E105" s="66" t="s">
        <v>554</v>
      </c>
      <c r="F105" s="24"/>
      <c r="G105" s="36">
        <v>44883</v>
      </c>
      <c r="H105" s="133" t="s">
        <v>520</v>
      </c>
      <c r="I105" s="141" t="s">
        <v>521</v>
      </c>
      <c r="J105" s="140" t="s">
        <v>527</v>
      </c>
    </row>
    <row r="106" spans="1:10" ht="21" customHeight="1">
      <c r="A106" s="27">
        <v>26</v>
      </c>
      <c r="B106" s="39" t="s">
        <v>319</v>
      </c>
      <c r="C106" s="40" t="s">
        <v>317</v>
      </c>
      <c r="D106" s="37" t="s">
        <v>318</v>
      </c>
      <c r="E106" s="66" t="s">
        <v>546</v>
      </c>
      <c r="F106" s="26"/>
      <c r="G106" s="36">
        <v>44887</v>
      </c>
      <c r="H106" s="133" t="s">
        <v>481</v>
      </c>
      <c r="I106" s="141" t="s">
        <v>513</v>
      </c>
      <c r="J106" s="140" t="s">
        <v>527</v>
      </c>
    </row>
    <row r="107" spans="1:10" ht="23" customHeight="1">
      <c r="A107" s="27">
        <v>27</v>
      </c>
      <c r="B107" s="39" t="s">
        <v>322</v>
      </c>
      <c r="C107" s="40" t="s">
        <v>320</v>
      </c>
      <c r="D107" s="37" t="s">
        <v>321</v>
      </c>
      <c r="E107" s="66" t="s">
        <v>542</v>
      </c>
      <c r="F107" s="26"/>
      <c r="G107" s="36">
        <v>44887</v>
      </c>
      <c r="H107" s="133" t="s">
        <v>522</v>
      </c>
      <c r="I107" s="141" t="s">
        <v>523</v>
      </c>
      <c r="J107" s="140" t="s">
        <v>527</v>
      </c>
    </row>
    <row r="108" spans="1:10" ht="24" customHeight="1">
      <c r="A108" s="27">
        <v>28</v>
      </c>
      <c r="B108" s="39" t="s">
        <v>262</v>
      </c>
      <c r="C108" s="40" t="s">
        <v>323</v>
      </c>
      <c r="D108" s="30" t="s">
        <v>524</v>
      </c>
      <c r="E108" s="66" t="s">
        <v>559</v>
      </c>
      <c r="F108" s="26"/>
      <c r="G108" s="36">
        <v>44887</v>
      </c>
      <c r="H108" s="133" t="s">
        <v>525</v>
      </c>
      <c r="I108" s="141" t="s">
        <v>497</v>
      </c>
      <c r="J108" s="140" t="s">
        <v>527</v>
      </c>
    </row>
    <row r="109" spans="1:10" ht="23" customHeight="1">
      <c r="A109" s="27">
        <v>29</v>
      </c>
      <c r="B109" s="39" t="s">
        <v>325</v>
      </c>
      <c r="C109" s="40" t="s">
        <v>324</v>
      </c>
      <c r="D109" s="58" t="s">
        <v>526</v>
      </c>
      <c r="E109" s="66" t="s">
        <v>548</v>
      </c>
      <c r="F109" s="26"/>
      <c r="G109" s="36">
        <v>44887</v>
      </c>
      <c r="H109" s="133" t="s">
        <v>515</v>
      </c>
      <c r="I109" s="141" t="s">
        <v>479</v>
      </c>
      <c r="J109" s="140" t="s">
        <v>527</v>
      </c>
    </row>
    <row r="110" spans="1:10" s="124" customFormat="1" ht="24" customHeight="1">
      <c r="A110" s="59">
        <v>30</v>
      </c>
      <c r="B110" s="60" t="s">
        <v>529</v>
      </c>
      <c r="C110" s="61" t="s">
        <v>530</v>
      </c>
      <c r="D110" s="62" t="s">
        <v>531</v>
      </c>
      <c r="E110" s="66" t="s">
        <v>539</v>
      </c>
      <c r="F110" s="63"/>
      <c r="G110" s="63">
        <v>44889</v>
      </c>
      <c r="H110" s="142"/>
      <c r="I110" s="143" t="s">
        <v>532</v>
      </c>
      <c r="J110" s="140" t="s">
        <v>527</v>
      </c>
    </row>
    <row r="111" spans="1:10" s="124" customFormat="1" ht="24" customHeight="1">
      <c r="A111" s="59">
        <v>31</v>
      </c>
      <c r="B111" s="60" t="s">
        <v>533</v>
      </c>
      <c r="C111" s="64" t="s">
        <v>534</v>
      </c>
      <c r="D111" s="65" t="s">
        <v>278</v>
      </c>
      <c r="E111" s="66" t="s">
        <v>551</v>
      </c>
      <c r="F111" s="63"/>
      <c r="G111" s="63">
        <v>44889</v>
      </c>
      <c r="H111" s="142" t="s">
        <v>485</v>
      </c>
      <c r="I111" s="143" t="s">
        <v>491</v>
      </c>
      <c r="J111" s="140" t="s">
        <v>527</v>
      </c>
    </row>
    <row r="112" spans="1:10" s="124" customFormat="1" ht="23" customHeight="1">
      <c r="A112" s="59">
        <v>32</v>
      </c>
      <c r="B112" s="60" t="s">
        <v>535</v>
      </c>
      <c r="C112" s="61" t="s">
        <v>536</v>
      </c>
      <c r="D112" s="65" t="s">
        <v>537</v>
      </c>
      <c r="E112" s="66" t="s">
        <v>552</v>
      </c>
      <c r="F112" s="63"/>
      <c r="G112" s="63">
        <v>44889</v>
      </c>
      <c r="H112" s="142"/>
      <c r="I112" s="143" t="s">
        <v>538</v>
      </c>
      <c r="J112" s="140" t="s">
        <v>527</v>
      </c>
    </row>
    <row r="113" spans="8:10">
      <c r="H113" s="133"/>
      <c r="I113" s="133"/>
      <c r="J113" s="129"/>
    </row>
    <row r="114" spans="8:10">
      <c r="H114" s="133"/>
      <c r="I114" s="133"/>
      <c r="J114" s="129"/>
    </row>
    <row r="115" spans="8:10">
      <c r="H115" s="133"/>
      <c r="I115" s="133"/>
      <c r="J115" s="129"/>
    </row>
    <row r="116" spans="8:10">
      <c r="H116" s="133"/>
      <c r="I116" s="133"/>
      <c r="J116" s="129"/>
    </row>
    <row r="117" spans="8:10">
      <c r="H117" s="133"/>
      <c r="I117" s="133"/>
      <c r="J117" s="129"/>
    </row>
    <row r="118" spans="8:10">
      <c r="H118" s="133"/>
      <c r="I118" s="133"/>
      <c r="J118" s="129"/>
    </row>
    <row r="119" spans="8:10">
      <c r="H119" s="133"/>
      <c r="I119" s="133"/>
      <c r="J119" s="129"/>
    </row>
    <row r="120" spans="8:10">
      <c r="H120" s="133"/>
      <c r="I120" s="133"/>
      <c r="J120" s="129"/>
    </row>
  </sheetData>
  <mergeCells count="10">
    <mergeCell ref="B1:J1"/>
    <mergeCell ref="A2:A3"/>
    <mergeCell ref="B2:B3"/>
    <mergeCell ref="C2:C3"/>
    <mergeCell ref="D2:D3"/>
    <mergeCell ref="E2:E3"/>
    <mergeCell ref="F2:F3"/>
    <mergeCell ref="G2:G3"/>
    <mergeCell ref="H2:I2"/>
    <mergeCell ref="J2:J3"/>
  </mergeCells>
  <phoneticPr fontId="7" type="noConversion"/>
  <hyperlinks>
    <hyperlink ref="F7" r:id="rId1" xr:uid="{F13A3394-676A-8D47-8D1A-98F14BC318CF}"/>
    <hyperlink ref="F90" r:id="rId2" xr:uid="{ACB69320-DA5A-1F45-9F58-E35B8AF94835}"/>
    <hyperlink ref="F91" r:id="rId3" xr:uid="{F1ED9962-73CF-8E41-92D8-8BF7E36F2471}"/>
    <hyperlink ref="F84" r:id="rId4" xr:uid="{CA34D3B8-27F4-B546-9521-434221E79503}"/>
    <hyperlink ref="F85" r:id="rId5" xr:uid="{AC38F4EE-E700-844E-8FE2-8C2D5EFCFDC6}"/>
    <hyperlink ref="F88" r:id="rId6" xr:uid="{A37DB4DA-679C-DD49-A92C-40C5C6F2F713}"/>
    <hyperlink ref="F81" r:id="rId7" xr:uid="{20660CC4-0EDD-3449-869D-3872314DC399}"/>
    <hyperlink ref="F89" r:id="rId8" xr:uid="{02FFD548-57FB-184E-AD96-1BFC1CACC3C8}"/>
    <hyperlink ref="F83" r:id="rId9" xr:uid="{4BB39571-0C1A-764A-A4CF-A1E58C865B95}"/>
    <hyperlink ref="F100" r:id="rId10" xr:uid="{748C62A8-4897-7041-BB40-E8798E0C61EB}"/>
    <hyperlink ref="F99" r:id="rId11" xr:uid="{7A196454-010F-3A4B-8174-E2108177222D}"/>
    <hyperlink ref="F96" r:id="rId12" xr:uid="{BA0B77DC-F171-1045-A745-514470597D3C}"/>
    <hyperlink ref="F98" r:id="rId13" xr:uid="{234B5AA5-4AFD-0446-A948-78B0ECCA54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Trần Phụng Yến</vt:lpstr>
      <vt:lpstr>WP 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Phụng Yến</dc:creator>
  <cp:lastModifiedBy>yentp</cp:lastModifiedBy>
  <dcterms:created xsi:type="dcterms:W3CDTF">2022-07-25T10:06:45Z</dcterms:created>
  <dcterms:modified xsi:type="dcterms:W3CDTF">2022-11-23T08:06:21Z</dcterms:modified>
</cp:coreProperties>
</file>